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6feb46fce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88ebf9f593f4738"/>
    <x:sheet xmlns:r="http://schemas.openxmlformats.org/officeDocument/2006/relationships" name="Histórico" sheetId="2" r:id="R0d78167fb6494318"/>
    <x:sheet xmlns:r="http://schemas.openxmlformats.org/officeDocument/2006/relationships" name="Fontes" sheetId="3" r:id="Rad67d088beb1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"/>
    <x:numFmt numFmtId="202" formatCode="0.0%"/>
    <x:numFmt numFmtId="203" formatCode="0.0"/>
    <x:numFmt numFmtId="204" formatCode="R$ #,##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32A46"/>
      <x:name val="Carlito"/>
    </x:font>
    <x:font>
      <x:sz val="11"/>
      <x:color rgb="FF1D2A36"/>
      <x:name val="Carlito"/>
    </x:font>
    <x:font>
      <x:b/>
      <x:sz val="11"/>
      <x:color rgb="FFFFFFFF"/>
      <x:name val="Carlito"/>
    </x:font>
    <x:font>
      <x:b/>
      <x:sz val="11"/>
      <x:color rgb="FF1E7A5C"/>
      <x:name val="Carlito"/>
    </x:font>
    <x:font>
      <x:i/>
      <x:sz val="11"/>
      <x:color rgb="FF684A12"/>
      <x:name val="Carlito"/>
    </x:font>
    <x:font>
      <x:sz val="11"/>
      <x:color rgb="FF617080"/>
      <x:name val="Carlito"/>
    </x:font>
    <x:font>
      <x:sz val="11"/>
      <x:color rgb="FF132A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A46"/>
      </x:patternFill>
    </x:fill>
    <x:fill>
      <x:patternFill patternType="solid">
        <x:fgColor rgb="FF1B5F8C"/>
      </x:patternFill>
    </x:fill>
    <x:fill>
      <x:patternFill patternType="solid">
        <x:fgColor rgb="FFF4F8FA"/>
      </x:patternFill>
    </x:fill>
    <x:fill>
      <x:patternFill patternType="solid">
        <x:fgColor rgb="FFEAF3F7"/>
      </x:patternFill>
    </x:fill>
    <x:fill>
      <x:patternFill patternType="solid">
        <x:fgColor rgb="FFFFF7E2"/>
      </x:patternFill>
    </x:fill>
  </x:fills>
  <x:borders count="16">
    <x:border/>
    <x:border>
      <x:left style="thin">
        <x:color rgb="FFCBD7DF"/>
      </x:left>
      <x:top style="thin">
        <x:color rgb="FFCBD7DF"/>
      </x:top>
    </x:border>
    <x:border>
      <x:right style="thin">
        <x:color rgb="FFCBD7DF"/>
      </x:right>
      <x:top style="thin">
        <x:color rgb="FFCBD7DF"/>
      </x:top>
    </x:border>
    <x:border>
      <x:left style="thin">
        <x:color rgb="FFCBD7DF"/>
      </x:left>
    </x:border>
    <x:border>
      <x:right style="thin">
        <x:color rgb="FFCBD7DF"/>
      </x:right>
    </x:border>
    <x:border>
      <x:left style="thin">
        <x:color rgb="FFCBD7DF"/>
      </x:left>
      <x:bottom style="thin">
        <x:color rgb="FFCBD7DF"/>
      </x:bottom>
    </x:border>
    <x:border>
      <x:right style="thin">
        <x:color rgb="FFCBD7DF"/>
      </x:right>
      <x:bottom style="thin">
        <x:color rgb="FFCBD7DF"/>
      </x:bottom>
    </x:border>
    <x:border>
      <x:left style="thin">
        <x:color rgb="FFCBD7DF"/>
      </x:left>
      <x:right style="thin">
        <x:color rgb="FFCBD7DF"/>
      </x:right>
    </x:border>
    <x:border>
      <x:bottom style="thin">
        <x:color rgb="FFCBD7DF"/>
      </x:bottom>
    </x:border>
    <x:border>
      <x:top style="thin">
        <x:color rgb="FFCBD7DF"/>
      </x:top>
      <x:bottom style="thin">
        <x:color rgb="FFCBD7DF"/>
      </x:bottom>
    </x:border>
    <x:border>
      <x:left style="thin">
        <x:color rgb="FFF2B84B"/>
      </x:left>
      <x:top style="thin">
        <x:color rgb="FFF2B84B"/>
      </x:top>
    </x:border>
    <x:border>
      <x:top style="thin">
        <x:color rgb="FFF2B84B"/>
      </x:top>
    </x:border>
    <x:border>
      <x:right style="thin">
        <x:color rgb="FFF2B84B"/>
      </x:right>
      <x:top style="thin">
        <x:color rgb="FFF2B84B"/>
      </x:top>
    </x:border>
    <x:border>
      <x:left style="thin">
        <x:color rgb="FFF2B84B"/>
      </x:left>
      <x:bottom style="thin">
        <x:color rgb="FFF2B84B"/>
      </x:bottom>
    </x:border>
    <x:border>
      <x:bottom style="thin">
        <x:color rgb="FFF2B84B"/>
      </x:bottom>
    </x:border>
    <x:border>
      <x:right style="thin">
        <x:color rgb="FFF2B84B"/>
      </x:right>
      <x:bottom style="thin">
        <x:color rgb="FFF2B84B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3" fillId="4" borderId="1" xfId="0" applyNumberFormat="1" applyFont="1" applyFill="1" applyBorder="1"/>
    <x:xf numFmtId="200" fontId="5" fillId="4" borderId="2" xfId="0" applyNumberFormat="1" applyFont="1" applyFill="1" applyBorder="1"/>
    <x:xf numFmtId="0" fontId="3" fillId="4" borderId="3" xfId="0" applyNumberFormat="1" applyFont="1" applyFill="1" applyBorder="1"/>
    <x:xf numFmtId="200" fontId="5" fillId="4" borderId="4" xfId="0" applyNumberFormat="1" applyFont="1" applyFill="1" applyBorder="1"/>
    <x:xf numFmtId="0" fontId="3" fillId="4" borderId="5" xfId="0" applyNumberFormat="1" applyFont="1" applyFill="1" applyBorder="1"/>
    <x:xf numFmtId="201" fontId="5" fillId="4" borderId="6" xfId="0" applyNumberFormat="1" applyFont="1" applyFill="1" applyBorder="1"/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4" borderId="0" xfId="0" applyNumberFormat="1" applyFont="1" applyFill="1" applyBorder="1"/>
    <x:xf numFmtId="202" fontId="5" fillId="4" borderId="2" xfId="0" applyNumberFormat="1" applyFont="1" applyFill="1" applyBorder="1"/>
    <x:xf numFmtId="202" fontId="5" fillId="4" borderId="4" xfId="0" applyNumberFormat="1" applyFont="1" applyFill="1" applyBorder="1"/>
    <x:xf numFmtId="0" fontId="5" fillId="4" borderId="6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7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3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3" fillId="0" borderId="0" xfId="0" applyNumberFormat="1" applyFont="1" applyFill="1" applyBorder="1"/>
    <x:xf numFmtId="204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8" xfId="0" applyNumberFormat="1" applyFont="1" applyFill="1" applyBorder="1"/>
    <x:xf numFmtId="204" fontId="3" fillId="0" borderId="8" xfId="0" applyNumberFormat="1" applyFont="1" applyFill="1" applyBorder="1"/>
    <x:xf numFmtId="200" fontId="3" fillId="0" borderId="8" xfId="0" applyNumberFormat="1" applyFont="1" applyFill="1" applyBorder="1"/>
    <x:xf numFmtId="0" fontId="3" fillId="0" borderId="8" xfId="0" applyNumberFormat="1" applyFont="1" applyFill="1" applyBorder="1"/>
    <x:xf numFmtId="201" fontId="3" fillId="0" borderId="9" xfId="0" applyNumberFormat="1" applyFont="1" applyFill="1" applyBorder="1"/>
    <x:xf numFmtId="204" fontId="3" fillId="0" borderId="9" xfId="0" applyNumberFormat="1" applyFont="1" applyFill="1" applyBorder="1"/>
    <x:xf numFmtId="200" fontId="3" fillId="0" borderId="9" xfId="0" applyNumberFormat="1" applyFont="1" applyFill="1" applyBorder="1"/>
    <x:xf numFmtId="0" fontId="3" fillId="0" borderId="9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4" borderId="4" xfId="0" applyNumberFormat="1" applyFont="1" applyFill="1" applyBorder="1"/>
    <x:xf numFmtId="0" fontId="2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E7A5C"/>
      </x:font>
      <x:fill>
        <x:patternFill patternType="solid">
          <x:bgColor rgb="FFD8F0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7ae60c90c48ea" /><Relationship Type="http://schemas.openxmlformats.org/officeDocument/2006/relationships/theme" Target="/xl/theme/theme1.xml" Id="R7538e58e1a1b4e0d" /><Relationship Type="http://schemas.openxmlformats.org/officeDocument/2006/relationships/sharedStrings" Target="/xl/sharedStrings.xml" Id="Rc3ab64d821ab4eff" /><Relationship Type="http://schemas.openxmlformats.org/officeDocument/2006/relationships/worksheet" Target="/xl/worksheets/sheet1.xml" Id="Re88ebf9f593f4738" /><Relationship Type="http://schemas.openxmlformats.org/officeDocument/2006/relationships/worksheet" Target="/xl/worksheets/sheet2.xml" Id="R0d78167fb6494318" /><Relationship Type="http://schemas.openxmlformats.org/officeDocument/2006/relationships/worksheet" Target="/xl/worksheets/sheet3.xml" Id="Rad67d088beb1451b" /><Relationship Type="http://schemas.microsoft.com/office/2017/10/relationships/person" Target="/xl/persons/person.xml" Id="Rd78e0310c061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57a544e41840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relativa — índice 2019 = 100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RCL ajustada</c:v>
          </c:tx>
          <c:marker>
            <c:symbol val="none"/>
          </c:marker>
          <c:cat>
            <c:strRef>
              <c:f>'Resumo'!$G$21:$G$27</c:f>
              <c:strCache>
                <c:ptCount val="0"/>
              </c:strCache>
            </c:strRef>
          </c:cat>
          <c:val>
            <c:numRef>
              <c:f>'Resumo'!$H$21:$H$27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Despesa pessoal</c:v>
          </c:tx>
          <c:marker>
            <c:symbol val="none"/>
          </c:marker>
          <c:cat>
            <c:strRef>
              <c:f>'Resumo'!$G$21:$G$27</c:f>
              <c:strCache>
                <c:ptCount val="0"/>
              </c:strCache>
            </c:strRef>
          </c:cat>
          <c:val>
            <c:numRef>
              <c:f>'Resumo'!$I$21:$I$27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Receitas FUNDEB</c:v>
          </c:tx>
          <c:marker>
            <c:symbol val="none"/>
          </c:marker>
          <c:cat>
            <c:strRef>
              <c:f>'Resumo'!$G$21:$G$27</c:f>
              <c:strCache>
                <c:ptCount val="0"/>
              </c:strCache>
            </c:strRef>
          </c:cat>
          <c:val>
            <c:numRef>
              <c:f>'Resumo'!$J$21:$J$27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57a544e418409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ryck" id="{AD184840-3861-4283-9CDD-8E67885565D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2faada83a74f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4" hidden="0" customWidth="1"/>
    <x:col min="3" max="3" width="3" hidden="0" customWidth="1"/>
    <x:col min="4" max="4" width="24" hidden="0" customWidth="1"/>
    <x:col min="5" max="5" width="24" hidden="0" customWidth="1"/>
    <x:col min="6" max="6" width="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Análise financeira do magistério — Curitiba 2019–2025</x:v>
      </x:c>
    </x:row>
    <x:row r="3">
      <x:c r="A3" s="4" t="str">
        <x:v>Município</x:v>
      </x:c>
      <x:c r="B3" s="5" t="str">
        <x:v>Curitiba</x:v>
      </x:c>
    </x:row>
    <x:row r="4">
      <x:c r="A4" s="4" t="str">
        <x:v>Entidade</x:v>
      </x:c>
      <x:c r="B4" s="5" t="str">
        <x:v>Município de Curitiba</x:v>
      </x:c>
    </x:row>
    <x:row r="5">
      <x:c r="A5" s="4" t="str">
        <x:v>Intervalo</x:v>
      </x:c>
      <x:c r="B5" s="5" t="str">
        <x:v>2019–2025</x:v>
      </x:c>
    </x:row>
    <x:row r="6">
      <x:c r="A6" s="4" t="str">
        <x:v>Coleta concluída</x:v>
      </x:c>
      <x:c r="B6" s="5" t="str">
        <x:v>15/08/2026 19:14:01 (America/Sao_Paulo)</x:v>
      </x:c>
    </x:row>
    <x:row r="8">
      <x:c r="A8" s="8" t="str">
        <x:v>Indicadores do período</x:v>
      </x:c>
      <x:c r="B8" s="8"/>
      <x:c r="D8" s="8" t="str">
        <x:v>Limites de pessoal</x:v>
      </x:c>
      <x:c r="E8" s="8"/>
    </x:row>
    <x:row r="9">
      <x:c r="A9" s="17" t="str">
        <x:v>Evolução acumulada da RCL ajustada</x:v>
      </x:c>
      <x:c r="B9" s="18" t="n">
        <x:f>'Histórico'!C12/'Histórico'!C6-1</x:f>
        <x:v>0.6762070614029947</x:v>
      </x:c>
      <x:c r="D9" s="17" t="str">
        <x:v>Alerta</x:v>
      </x:c>
      <x:c r="E9" s="27" t="n">
        <x:v>0.486</x:v>
      </x:c>
    </x:row>
    <x:row r="10">
      <x:c r="A10" s="19" t="str">
        <x:v>Evolução acumulada da despesa com pessoal</x:v>
      </x:c>
      <x:c r="B10" s="20" t="n">
        <x:f>'Histórico'!D12/'Histórico'!D6-1</x:f>
        <x:v>0.7108498530561953</x:v>
      </x:c>
      <x:c r="D10" s="19" t="str">
        <x:v>Prudencial</x:v>
      </x:c>
      <x:c r="E10" s="28" t="n">
        <x:v>0.513</x:v>
      </x:c>
    </x:row>
    <x:row r="11">
      <x:c r="A11" s="19" t="str">
        <x:v>Evolução acumulada das receitas do FUNDEB</x:v>
      </x:c>
      <x:c r="B11" s="20" t="n">
        <x:f>'Histórico'!E12/'Histórico'!E6-1</x:f>
        <x:v>0.7387247774911301</x:v>
      </x:c>
      <x:c r="D11" s="19" t="str">
        <x:v>Máximo</x:v>
      </x:c>
      <x:c r="E11" s="28" t="n">
        <x:v>0.54</x:v>
      </x:c>
    </x:row>
    <x:row r="12">
      <x:c r="A12" s="19" t="str">
        <x:v>Média de comprometimento</x:v>
      </x:c>
      <x:c r="B12" s="20" t="n">
        <x:f>AVERAGE('Histórico'!F6:F12)</x:f>
        <x:v>0.38825938948940925</x:v>
      </x:c>
      <x:c r="D12" s="21" t="str">
        <x:v>Situação 2019–2025</x:v>
      </x:c>
      <x:c r="E12" s="29" t="str">
        <x:v>Normal em todos os anos</x:v>
      </x:c>
    </x:row>
    <x:row r="13">
      <x:c r="A13" s="19" t="str">
        <x:v>Maior comprometimento</x:v>
      </x:c>
      <x:c r="B13" s="20" t="n">
        <x:f>MAX('Histórico'!F6:F12)</x:f>
        <x:v>0.42774852010054376</x:v>
      </x:c>
    </x:row>
    <x:row r="14">
      <x:c r="A14" s="21" t="str">
        <x:v>Ano do maior comprometimento</x:v>
      </x:c>
      <x:c r="B14" s="22" t="n">
        <x:f>INDEX('Histórico'!A6:A12,MATCH(B13,'Histórico'!F6:F12,0))</x:f>
        <x:v>2023</x:v>
      </x:c>
    </x:row>
    <x:row r="17">
      <x:c r="A17" s="60" t="str">
        <x:v>Leitura: o maior comprometimento ocorreu em 2023 (42,77%), ainda abaixo do limite de alerta de 48,6%. A decisão final sobre reajuste continua sendo humana e depende das regras e documentos da consultoria.</x:v>
      </x:c>
      <x:c r="B17" s="61"/>
      <x:c r="C17" s="61"/>
      <x:c r="D17" s="61"/>
      <x:c r="E17" s="62"/>
    </x:row>
    <x:row r="18">
      <x:c r="A18" s="63"/>
      <x:c r="B18" s="64"/>
      <x:c r="C18" s="64"/>
      <x:c r="D18" s="64"/>
      <x:c r="E18" s="65"/>
    </x:row>
    <x:row r="20">
      <x:c r="G20" s="38" t="str">
        <x:v>Ano</x:v>
      </x:c>
      <x:c r="H20" s="39" t="str">
        <x:v>RCL ajustada</x:v>
      </x:c>
      <x:c r="I20" s="39" t="str">
        <x:v>Despesa pessoal</x:v>
      </x:c>
      <x:c r="J20" s="40" t="str">
        <x:v>Receitas FUNDEB</x:v>
      </x:c>
    </x:row>
    <x:row r="21">
      <x:c r="G21" s="42" t="n">
        <x:f>'Histórico'!A6</x:f>
        <x:v>2019</x:v>
      </x:c>
      <x:c r="H21" s="43" t="n">
        <x:f>'Histórico'!C6/'Histórico'!C$6*100</x:f>
        <x:v>100</x:v>
      </x:c>
      <x:c r="I21" s="43" t="n">
        <x:f>'Histórico'!D6/'Histórico'!D$6*100</x:f>
        <x:v>100</x:v>
      </x:c>
      <x:c r="J21" s="43" t="n">
        <x:f>'Histórico'!E6/'Histórico'!E$6*100</x:f>
        <x:v>100</x:v>
      </x:c>
    </x:row>
    <x:row r="22">
      <x:c r="G22" s="44" t="n">
        <x:f>'Histórico'!A7</x:f>
        <x:v>2020</x:v>
      </x:c>
      <x:c r="H22" s="45" t="n">
        <x:f>'Histórico'!C7/'Histórico'!C$6*100</x:f>
        <x:v>106.46784224063236</x:v>
      </x:c>
      <x:c r="I22" s="45" t="n">
        <x:f>'Histórico'!D7/'Histórico'!D$6*100</x:f>
        <x:v>103.53532869847693</x:v>
      </x:c>
      <x:c r="J22" s="45" t="n">
        <x:f>'Histórico'!E7/'Histórico'!E$6*100</x:f>
        <x:v>95.30936319054781</x:v>
      </x:c>
    </x:row>
    <x:row r="23">
      <x:c r="G23" s="44" t="n">
        <x:f>'Histórico'!A8</x:f>
        <x:v>2021</x:v>
      </x:c>
      <x:c r="H23" s="45" t="n">
        <x:f>'Histórico'!C8/'Histórico'!C$6*100</x:f>
        <x:v>112.53905427645205</x:v>
      </x:c>
      <x:c r="I23" s="45" t="n">
        <x:f>'Histórico'!D8/'Histórico'!D$6*100</x:f>
        <x:v>114.3680991808422</x:v>
      </x:c>
      <x:c r="J23" s="45" t="n">
        <x:f>'Histórico'!E8/'Histórico'!E$6*100</x:f>
        <x:v>118.93283868556969</x:v>
      </x:c>
    </x:row>
    <x:row r="24">
      <x:c r="G24" s="44" t="n">
        <x:f>'Histórico'!A9</x:f>
        <x:v>2022</x:v>
      </x:c>
      <x:c r="H24" s="45" t="n">
        <x:f>'Histórico'!C9/'Histórico'!C$6*100</x:f>
        <x:v>126.55627085867391</x:v>
      </x:c>
      <x:c r="I24" s="45" t="n">
        <x:f>'Histórico'!D9/'Histórico'!D$6*100</x:f>
        <x:v>119.70223508738313</x:v>
      </x:c>
      <x:c r="J24" s="45" t="n">
        <x:f>'Histórico'!E9/'Histórico'!E$6*100</x:f>
        <x:v>143.44743655136932</x:v>
      </x:c>
    </x:row>
    <x:row r="25">
      <x:c r="G25" s="44" t="n">
        <x:f>'Histórico'!A10</x:f>
        <x:v>2023</x:v>
      </x:c>
      <x:c r="H25" s="45" t="n">
        <x:f>'Histórico'!C10/'Histórico'!C$6*100</x:f>
        <x:v>135.0011226347552</x:v>
      </x:c>
      <x:c r="I25" s="45" t="n">
        <x:f>'Histórico'!D10/'Histórico'!D$6*100</x:f>
        <x:v>152.54691057421635</x:v>
      </x:c>
      <x:c r="J25" s="45" t="n">
        <x:f>'Histórico'!E10/'Histórico'!E$6*100</x:f>
        <x:v>143.92834455390116</x:v>
      </x:c>
    </x:row>
    <x:row r="26">
      <x:c r="G26" s="44" t="n">
        <x:f>'Histórico'!A11</x:f>
        <x:v>2024</x:v>
      </x:c>
      <x:c r="H26" s="45" t="n">
        <x:f>'Histórico'!C11/'Histórico'!C$6*100</x:f>
        <x:v>153.66116991801823</x:v>
      </x:c>
      <x:c r="I26" s="45" t="n">
        <x:f>'Histórico'!D11/'Histórico'!D$6*100</x:f>
        <x:v>168.1620308889022</x:v>
      </x:c>
      <x:c r="J26" s="45" t="n">
        <x:f>'Histórico'!E11/'Histórico'!E$6*100</x:f>
        <x:v>167.67365867440733</x:v>
      </x:c>
    </x:row>
    <x:row r="27">
      <x:c r="G27" s="44" t="n">
        <x:f>'Histórico'!A12</x:f>
        <x:v>2025</x:v>
      </x:c>
      <x:c r="H27" s="45" t="n">
        <x:f>'Histórico'!C12/'Histórico'!C$6*100</x:f>
        <x:v>167.62070614029946</x:v>
      </x:c>
      <x:c r="I27" s="45" t="n">
        <x:f>'Histórico'!D12/'Histórico'!D$6*100</x:f>
        <x:v>171.08498530561954</x:v>
      </x:c>
      <x:c r="J27" s="45" t="n">
        <x:f>'Histórico'!E12/'Histórico'!E$6*100</x:f>
        <x:v>173.87247774911302</x:v>
      </x:c>
    </x:row>
  </x:sheetData>
  <x:mergeCells>
    <x:mergeCell ref="A1:R1"/>
    <x:mergeCell ref="A8:B8"/>
    <x:mergeCell ref="D8:E8"/>
    <x:mergeCell ref="A17:E18"/>
  </x:mergeCells>
  <x:pageMargins left="0.7" right="0.7" top="0.75" bottom="0.75" header="0.3" footer="0.3"/>
  <x:drawing xmlns:r="http://schemas.openxmlformats.org/officeDocument/2006/relationships" r:id="Rb42faada83a74f2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</x:cols>
  <x:sheetData>
    <x:row r="1" ht="34" customHeight="1">
      <x:c r="A1" s="3" t="str">
        <x:v>Dados oficiais e cálculos auditáveis</x:v>
      </x:c>
    </x:row>
    <x:row r="3">
      <x:c r="A3" s="67" t="str">
        <x:v>Valores nominais em reais. Variações calculadas contra o exercício anterior; comprometimento = despesa total com pessoal ÷ RCL ajustada.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5" ht="45" customHeight="1">
      <x:c r="A5" s="38" t="str">
        <x:v>Ano</x:v>
      </x:c>
      <x:c r="B5" s="39" t="str">
        <x:v>RCL</x:v>
      </x:c>
      <x:c r="C5" s="39" t="str">
        <x:v>RCL ajustada</x:v>
      </x:c>
      <x:c r="D5" s="39" t="str">
        <x:v>Despesa com pessoal</x:v>
      </x:c>
      <x:c r="E5" s="39" t="str">
        <x:v>Receitas FUNDEB</x:v>
      </x:c>
      <x:c r="F5" s="39" t="str">
        <x:v>Comprometimento</x:v>
      </x:c>
      <x:c r="G5" s="39" t="str">
        <x:v>Percentual oficial</x:v>
      </x:c>
      <x:c r="H5" s="39" t="str">
        <x:v>Evolução RCL</x:v>
      </x:c>
      <x:c r="I5" s="39" t="str">
        <x:v>Evolução despesa</x:v>
      </x:c>
      <x:c r="J5" s="39" t="str">
        <x:v>Evolução FUNDEB</x:v>
      </x:c>
      <x:c r="K5" s="39" t="str">
        <x:v>Variação do compromisso</x:v>
      </x:c>
      <x:c r="L5" s="40" t="str">
        <x:v>Classificação</x:v>
      </x:c>
    </x:row>
    <x:row r="6">
      <x:c r="A6" s="72" t="n">
        <x:v>2019</x:v>
      </x:c>
      <x:c r="B6" s="73" t="n">
        <x:v>7361430652.73</x:v>
      </x:c>
      <x:c r="C6" s="73" t="n">
        <x:v>7359872310.73</x:v>
      </x:c>
      <x:c r="D6" s="73" t="n">
        <x:v>2786074714.14</x:v>
      </x:c>
      <x:c r="E6" s="73" t="n">
        <x:v>600162934.45</x:v>
      </x:c>
      <x:c r="F6" s="74" t="n">
        <x:f>D6/C6</x:f>
        <x:v>0.37854932755805637</x:v>
      </x:c>
      <x:c r="G6" s="74" t="n">
        <x:f>37.85/100</x:f>
        <x:v>0.3785</x:v>
      </x:c>
      <x:c r="H6" s="74"/>
      <x:c r="I6" s="74"/>
      <x:c r="J6" s="74"/>
      <x:c r="K6" s="74"/>
      <x:c r="L6" s="75" t="str">
        <x:f>IF(F6&lt;'Resumo'!$E$9,"Normal",IF(F6&lt;'Resumo'!$E$10,"Alerta",IF(F6&lt;'Resumo'!$E$11,"Prudencial","Limite excedido")))</x:f>
        <x:v>Normal</x:v>
      </x:c>
    </x:row>
    <x:row r="7">
      <x:c r="A7" s="76" t="n">
        <x:v>2020</x:v>
      </x:c>
      <x:c r="B7" s="77" t="n">
        <x:v>7866853355.9</x:v>
      </x:c>
      <x:c r="C7" s="77" t="n">
        <x:v>7835897240.9</x:v>
      </x:c>
      <x:c r="D7" s="77" t="n">
        <x:v>2884571613.07</x:v>
      </x:c>
      <x:c r="E7" s="77" t="n">
        <x:v>572011470.93</x:v>
      </x:c>
      <x:c r="F7" s="78" t="n">
        <x:f>D7/C7</x:f>
        <x:v>0.3681226953837248</x:v>
      </x:c>
      <x:c r="G7" s="78" t="n">
        <x:f>36.81/100</x:f>
        <x:v>0.36810000000000004</x:v>
      </x:c>
      <x:c r="H7" s="78" t="n">
        <x:f>C7/C6-1</x:f>
        <x:v>0.06467842240632371</x:v>
      </x:c>
      <x:c r="I7" s="78" t="n">
        <x:f>D7/D6-1</x:f>
        <x:v>0.03535328698476925</x:v>
      </x:c>
      <x:c r="J7" s="78" t="n">
        <x:f>E7/E6-1</x:f>
        <x:v>-0.046906368094521866</x:v>
      </x:c>
      <x:c r="K7" s="78" t="n">
        <x:f>F7-F6</x:f>
        <x:v>-0.010426632174331596</x:v>
      </x:c>
      <x:c r="L7" s="79" t="str">
        <x:f>IF(F7&lt;'Resumo'!$E$9,"Normal",IF(F7&lt;'Resumo'!$E$10,"Alerta",IF(F7&lt;'Resumo'!$E$11,"Prudencial","Limite excedido")))</x:f>
        <x:v>Normal</x:v>
      </x:c>
    </x:row>
    <x:row r="8">
      <x:c r="A8" s="76" t="n">
        <x:v>2021</x:v>
      </x:c>
      <x:c r="B8" s="77" t="n">
        <x:v>8289494820.45</x:v>
      </x:c>
      <x:c r="C8" s="77" t="n">
        <x:v>8282730694.45</x:v>
      </x:c>
      <x:c r="D8" s="77" t="n">
        <x:v>3186380692.32</x:v>
      </x:c>
      <x:c r="E8" s="77" t="n">
        <x:v>713790814.68</x:v>
      </x:c>
      <x:c r="F8" s="78" t="n">
        <x:f>D8/C8</x:f>
        <x:v>0.3847017137059756</x:v>
      </x:c>
      <x:c r="G8" s="78" t="n">
        <x:f>38.47/100</x:f>
        <x:v>0.3847</x:v>
      </x:c>
      <x:c r="H8" s="78" t="n">
        <x:f>C8/C7-1</x:f>
        <x:v>0.05702390419538972</x:v>
      </x:c>
      <x:c r="I8" s="78" t="n">
        <x:f>D8/D7-1</x:f>
        <x:v>0.10462873512396165</x:v>
      </x:c>
      <x:c r="J8" s="78" t="n">
        <x:f>E8/E7-1</x:f>
        <x:v>0.24786101495392954</x:v>
      </x:c>
      <x:c r="K8" s="78" t="n">
        <x:f>F8-F7</x:f>
        <x:v>0.016579018322250838</x:v>
      </x:c>
      <x:c r="L8" s="79" t="str">
        <x:f>IF(F8&lt;'Resumo'!$E$9,"Normal",IF(F8&lt;'Resumo'!$E$10,"Alerta",IF(F8&lt;'Resumo'!$E$11,"Prudencial","Limite excedido")))</x:f>
        <x:v>Normal</x:v>
      </x:c>
    </x:row>
    <x:row r="9">
      <x:c r="A9" s="76" t="n">
        <x:v>2022</x:v>
      </x:c>
      <x:c r="B9" s="77" t="n">
        <x:v>9335522195.42</x:v>
      </x:c>
      <x:c r="C9" s="77" t="n">
        <x:v>9314379936.42</x:v>
      </x:c>
      <x:c r="D9" s="77" t="n">
        <x:v>3334993704.03</x:v>
      </x:c>
      <x:c r="E9" s="77" t="n">
        <x:v>860918344.6</x:v>
      </x:c>
      <x:c r="F9" s="78" t="n">
        <x:f>D9/C9</x:f>
        <x:v>0.3580478493248807</x:v>
      </x:c>
      <x:c r="G9" s="78" t="n">
        <x:f>35.8/100</x:f>
        <x:v>0.358</x:v>
      </x:c>
      <x:c r="H9" s="78" t="n">
        <x:f>C9/C8-1</x:f>
        <x:v>0.12455424183491526</x:v>
      </x:c>
      <x:c r="I9" s="78" t="n">
        <x:f>D9/D8-1</x:f>
        <x:v>0.04664006785761532</x:v>
      </x:c>
      <x:c r="J9" s="78" t="n">
        <x:f>E9/E8-1</x:f>
        <x:v>0.20612135501625772</x:v>
      </x:c>
      <x:c r="K9" s="78" t="n">
        <x:f>F9-F8</x:f>
        <x:v>-0.026653864381094905</x:v>
      </x:c>
      <x:c r="L9" s="79" t="str">
        <x:f>IF(F9&lt;'Resumo'!$E$9,"Normal",IF(F9&lt;'Resumo'!$E$10,"Alerta",IF(F9&lt;'Resumo'!$E$11,"Prudencial","Limite excedido")))</x:f>
        <x:v>Normal</x:v>
      </x:c>
    </x:row>
    <x:row r="10">
      <x:c r="A10" s="76" t="n">
        <x:v>2023</x:v>
      </x:c>
      <x:c r="B10" s="77" t="n">
        <x:v>9967593104.79</x:v>
      </x:c>
      <x:c r="C10" s="77" t="n">
        <x:v>9935910243.97</x:v>
      </x:c>
      <x:c r="D10" s="77" t="n">
        <x:v>4250070902.71</x:v>
      </x:c>
      <x:c r="E10" s="77" t="n">
        <x:v>863804576.18</x:v>
      </x:c>
      <x:c r="F10" s="78" t="n">
        <x:f>D10/C10</x:f>
        <x:v>0.42774852010054376</x:v>
      </x:c>
      <x:c r="G10" s="78" t="n">
        <x:f>42.77/100</x:f>
        <x:v>0.4277</x:v>
      </x:c>
      <x:c r="H10" s="78" t="n">
        <x:f>C10/C9-1</x:f>
        <x:v>0.06672803898837798</x:v>
      </x:c>
      <x:c r="I10" s="78" t="n">
        <x:f>D10/D9-1</x:f>
        <x:v>0.2743864846204125</x:v>
      </x:c>
      <x:c r="J10" s="78" t="n">
        <x:f>E10/E9-1</x:f>
        <x:v>0.0033525032868719773</x:v>
      </x:c>
      <x:c r="K10" s="78" t="n">
        <x:f>F10-F9</x:f>
        <x:v>0.06970067077566305</x:v>
      </x:c>
      <x:c r="L10" s="79" t="str">
        <x:f>IF(F10&lt;'Resumo'!$E$9,"Normal",IF(F10&lt;'Resumo'!$E$10,"Alerta",IF(F10&lt;'Resumo'!$E$11,"Prudencial","Limite excedido")))</x:f>
        <x:v>Normal</x:v>
      </x:c>
    </x:row>
    <x:row r="11">
      <x:c r="A11" s="76" t="n">
        <x:v>2024</x:v>
      </x:c>
      <x:c r="B11" s="77" t="n">
        <x:v>11389418362.14</x:v>
      </x:c>
      <x:c r="C11" s="77" t="n">
        <x:v>11309265897.14</x:v>
      </x:c>
      <x:c r="D11" s="77" t="n">
        <x:v>4685119821.38</x:v>
      </x:c>
      <x:c r="E11" s="77" t="n">
        <x:v>1006315150.2</x:v>
      </x:c>
      <x:c r="F11" s="78" t="n">
        <x:f>D11/C11</x:f>
        <x:v>0.4142726737519559</x:v>
      </x:c>
      <x:c r="G11" s="78" t="n">
        <x:f>41.43/100</x:f>
        <x:v>0.4143</x:v>
      </x:c>
      <x:c r="H11" s="78" t="n">
        <x:f>C11/C10-1</x:f>
        <x:v>0.13822142304510798</x:v>
      </x:c>
      <x:c r="I11" s="78" t="n">
        <x:f>D11/D10-1</x:f>
        <x:v>0.10236274373507448</x:v>
      </x:c>
      <x:c r="J11" s="78" t="n">
        <x:f>E11/E10-1</x:f>
        <x:v>0.1649801100269972</x:v>
      </x:c>
      <x:c r="K11" s="78" t="n">
        <x:f>F11-F10</x:f>
        <x:v>-0.013475846348587839</x:v>
      </x:c>
      <x:c r="L11" s="79" t="str">
        <x:f>IF(F11&lt;'Resumo'!$E$9,"Normal",IF(F11&lt;'Resumo'!$E$10,"Alerta",IF(F11&lt;'Resumo'!$E$11,"Prudencial","Limite excedido")))</x:f>
        <x:v>Normal</x:v>
      </x:c>
    </x:row>
    <x:row r="12">
      <x:c r="A12" s="76" t="n">
        <x:v>2025</x:v>
      </x:c>
      <x:c r="B12" s="77" t="n">
        <x:v>12392660007.87</x:v>
      </x:c>
      <x:c r="C12" s="77" t="n">
        <x:v>12336669938.27</x:v>
      </x:c>
      <x:c r="D12" s="77" t="n">
        <x:v>4766555515.29</x:v>
      </x:c>
      <x:c r="E12" s="77" t="n">
        <x:v>1043518164.66</x:v>
      </x:c>
      <x:c r="F12" s="78" t="n">
        <x:f>D12/C12</x:f>
        <x:v>0.3863729466007279</x:v>
      </x:c>
      <x:c r="G12" s="78" t="n">
        <x:f>38.64/100</x:f>
        <x:v>0.3864</x:v>
      </x:c>
      <x:c r="H12" s="78" t="n">
        <x:f>C12/C11-1</x:f>
        <x:v>0.09084621853217034</x:v>
      </x:c>
      <x:c r="I12" s="78" t="n">
        <x:f>D12/D11-1</x:f>
        <x:v>0.017381774002529715</x:v>
      </x:c>
      <x:c r="J12" s="78" t="n">
        <x:f>E12/E11-1</x:f>
        <x:v>0.03696954622277726</x:v>
      </x:c>
      <x:c r="K12" s="78" t="n">
        <x:f>F12-F11</x:f>
        <x:v>-0.027899727151228015</x:v>
      </x:c>
      <x:c r="L12" s="79" t="str">
        <x:f>IF(F12&lt;'Resumo'!$E$9,"Normal",IF(F12&lt;'Resumo'!$E$10,"Alerta",IF(F12&lt;'Resumo'!$E$11,"Prudencial","Limite excedido")))</x:f>
        <x:v>Normal</x:v>
      </x:c>
    </x:row>
    <x:row r="14">
      <x:c r="A14" s="82" t="str">
        <x:v>Controle de qualidade: a RCL publicada nos relatórios 10 e 20 apresentou diferença de R$ 0,00 em todos os sete exercícios desta amostra. Nenhum ano falhou durante a coleta real.</x:v>
      </x:c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</x:row>
  </x:sheetData>
  <x:mergeCells>
    <x:mergeCell ref="A1:L1"/>
    <x:mergeCell ref="A3:L3"/>
    <x:mergeCell ref="A14:L15"/>
  </x:mergeCells>
  <x:conditionalFormatting sqref="F6:F12">
    <x:cfRule type="colorScale" priority="1">
      <x:colorScale>
        <x:cfvo type="min"/>
        <x:cfvo type="percentile" val="50"/>
        <x:cfvo type="max"/>
        <x:color rgb="FFD8F0E5"/>
        <x:color rgb="FFFFF2C6"/>
        <x:color rgb="FFF7B7B7"/>
      </x:colorScale>
    </x:cfRule>
  </x:conditionalFormatting>
  <x:conditionalFormatting sqref="L6:L12">
    <x:cfRule type="containsText" dxfId="0" priority="2" operator="containsText" text="Norm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31" hidden="0" customWidth="1"/>
    <x:col min="5" max="5" width="35" hidden="0" customWidth="1"/>
    <x:col min="6" max="6" width="22" hidden="0" customWidth="1"/>
    <x:col min="7" max="7" width="43" hidden="0" customWidth="1"/>
  </x:cols>
  <x:sheetData>
    <x:row r="1" ht="34" customHeight="1">
      <x:c r="A1" s="3" t="str">
        <x:v>Fontes, parâmetros e rastreabilidade</x:v>
      </x:c>
    </x:row>
    <x:row r="3" ht="34" customHeight="1">
      <x:c r="A3" s="38" t="str">
        <x:v>Relatório</x:v>
      </x:c>
      <x:c r="B3" s="39" t="str">
        <x:v>ID</x:v>
      </x:c>
      <x:c r="C3" s="39" t="str">
        <x:v>Período</x:v>
      </x:c>
      <x:c r="D3" s="39" t="str">
        <x:v>Campo extraído</x:v>
      </x:c>
      <x:c r="E3" s="39" t="str">
        <x:v>Método</x:v>
      </x:c>
      <x:c r="F3" s="39" t="str">
        <x:v>Situação</x:v>
      </x:c>
      <x:c r="G3" s="40" t="str">
        <x:v>Fonte</x:v>
      </x:c>
    </x:row>
    <x:row r="4" ht="58" customHeight="1">
      <x:c r="A4" s="84" t="str">
        <x:v>RREO — Receita Corrente Líquida</x:v>
      </x:c>
      <x:c r="B4" s="84" t="str">
        <x:v>10</x:v>
      </x:c>
      <x:c r="C4" s="84" t="str">
        <x:v>Fechamento anual</x:v>
      </x:c>
      <x:c r="D4" s="84" t="str">
        <x:v>RCL e RCL ajustada</x:v>
      </x:c>
      <x:c r="E4" s="84" t="str">
        <x:v>Busca por rótulo no CSV oficial</x:v>
      </x:c>
      <x:c r="F4" s="84" t="str">
        <x:v>Validado 2019–2025</x:v>
      </x:c>
      <x:c r="G4" s="84" t="str">
        <x:v>https://simam.tce.pr.gov.br/Paginas/Rel_LRF.aspx?relTipo=1</x:v>
      </x:c>
    </x:row>
    <x:row r="5" ht="58" customHeight="1">
      <x:c r="A5" s="85" t="str">
        <x:v>RGF — Despesa com Pessoal</x:v>
      </x:c>
      <x:c r="B5" s="85" t="str">
        <x:v>20</x:v>
      </x:c>
      <x:c r="C5" s="85" t="str">
        <x:v>Fechamento anual</x:v>
      </x:c>
      <x:c r="D5" s="85" t="str">
        <x:v>Despesa, percentual e limites</x:v>
      </x:c>
      <x:c r="E5" s="85" t="str">
        <x:v>Busca por rótulo no CSV oficial</x:v>
      </x:c>
      <x:c r="F5" s="85" t="str">
        <x:v>Validado 2019–2025</x:v>
      </x:c>
      <x:c r="G5" s="85" t="str">
        <x:v>https://simam.tce.pr.gov.br/Paginas/Rel_LRF.aspx?relTipo=1</x:v>
      </x:c>
    </x:row>
    <x:row r="6" ht="58" customHeight="1">
      <x:c r="A6" s="85" t="str">
        <x:v>RREO — MDE</x:v>
      </x:c>
      <x:c r="B6" s="85" t="str">
        <x:v>15</x:v>
      </x:c>
      <x:c r="C6" s="85" t="str">
        <x:v>6º Bimestre (ID 32)</x:v>
      </x:c>
      <x:c r="D6" s="85" t="str">
        <x:v>Receitas recebidas do FUNDEB</x:v>
      </x:c>
      <x:c r="E6" s="85" t="str">
        <x:v>Busca por rótulo; tolera mudança de posição</x:v>
      </x:c>
      <x:c r="F6" s="85" t="str">
        <x:v>Validado 2019–2025</x:v>
      </x:c>
      <x:c r="G6" s="85" t="str">
        <x:v>https://simam.tce.pr.gov.br/Paginas/Rel_LRF.aspx?relTipo=1</x:v>
      </x:c>
    </x:row>
    <x:row r="9">
      <x:c r="A9" s="8" t="str">
        <x:v>Registro da amostra</x:v>
      </x:c>
      <x:c r="B9" s="8"/>
      <x:c r="C9" s="8"/>
      <x:c r="D9" s="8"/>
    </x:row>
    <x:row r="10">
      <x:c r="A10" s="87" t="str">
        <x:v>Município / entidade</x:v>
      </x:c>
      <x:c r="B10" s="88" t="str">
        <x:v>Curitiba / Município de Curitiba</x:v>
      </x:c>
    </x:row>
    <x:row r="11">
      <x:c r="A11" s="89" t="str">
        <x:v>IDs</x:v>
      </x:c>
      <x:c r="B11" s="90" t="str">
        <x:v>município 1490; entidade 12268</x:v>
      </x:c>
    </x:row>
    <x:row r="12">
      <x:c r="A12" s="89" t="str">
        <x:v>Exercícios</x:v>
      </x:c>
      <x:c r="B12" s="90" t="str">
        <x:v>2019–2025</x:v>
      </x:c>
    </x:row>
    <x:row r="13">
      <x:c r="A13" s="89" t="str">
        <x:v>Relatórios consultados</x:v>
      </x:c>
      <x:c r="B13" s="90" t="str">
        <x:v>21</x:v>
      </x:c>
    </x:row>
    <x:row r="14">
      <x:c r="A14" s="89" t="str">
        <x:v>Anos com falha</x:v>
      </x:c>
      <x:c r="B14" s="90" t="str">
        <x:v>0</x:v>
      </x:c>
    </x:row>
    <x:row r="15">
      <x:c r="A15" s="91" t="str">
        <x:v>Última coleta</x:v>
      </x:c>
      <x:c r="B15" s="92" t="str">
        <x:v>15/08/2026 19:14:01 (America/Sao_Paulo)</x:v>
      </x:c>
    </x:row>
    <x:row r="18">
      <x:c r="A18" s="8" t="str">
        <x:v>Notas de interpretação</x:v>
      </x:c>
      <x:c r="B18" s="8"/>
      <x:c r="C18" s="8"/>
      <x:c r="D18" s="8"/>
      <x:c r="E18" s="8"/>
      <x:c r="F18" s="8"/>
      <x:c r="G18" s="8"/>
    </x:row>
    <x:row r="19">
      <x:c r="A19" s="93" t="str">
        <x:v>• O relatório MDE mudou de layout entre 2020 e 2021; a extração usa o texto do indicador, não o número fixo da linha.</x:v>
      </x:c>
      <x:c r="B19" s="93"/>
      <x:c r="C19" s="93"/>
      <x:c r="D19" s="93"/>
      <x:c r="E19" s="93"/>
      <x:c r="F19" s="93"/>
      <x:c r="G19" s="93"/>
    </x:row>
    <x:row r="20">
      <x:c r="A20" s="93" t="str">
        <x:v>• Os CSVs brutos são preservados localmente em data/raw/tce/ durante uma coleta real, mas não entram no pacote distribuído.</x:v>
      </x:c>
      <x:c r="B20" s="93"/>
      <x:c r="C20" s="93"/>
      <x:c r="D20" s="93"/>
      <x:c r="E20" s="93"/>
      <x:c r="F20" s="93"/>
      <x:c r="G20" s="93"/>
    </x:row>
    <x:row r="21">
      <x:c r="A21" s="93" t="str">
        <x:v>• A amostra prova o comportamento para Curitiba; outros municípios ainda precisam de validação manual por amostragem.</x:v>
      </x:c>
      <x:c r="B21" s="93"/>
      <x:c r="C21" s="93"/>
      <x:c r="D21" s="93"/>
      <x:c r="E21" s="93"/>
      <x:c r="F21" s="93"/>
      <x:c r="G21" s="93"/>
    </x:row>
    <x:row r="22">
      <x:c r="A22" s="93" t="str">
        <x:v>• A análise é apoio técnico. Ela não substitui regras da planilha original, parecer jurídico ou decisão do analista.</x:v>
      </x:c>
      <x:c r="B22" s="93"/>
      <x:c r="C22" s="93"/>
      <x:c r="D22" s="93"/>
      <x:c r="E22" s="93"/>
      <x:c r="F22" s="93"/>
      <x:c r="G22" s="93"/>
    </x:row>
  </x:sheetData>
  <x:mergeCells>
    <x:mergeCell ref="A1:G1"/>
    <x:mergeCell ref="A9:D9"/>
    <x:mergeCell ref="A18:G18"/>
    <x:mergeCell ref="A19:G19"/>
    <x:mergeCell ref="A20:G20"/>
    <x:mergeCell ref="A21:G21"/>
    <x:mergeCell ref="A22:G22"/>
  </x:mergeCells>
  <x:pageMargins left="0.7" right="0.7" top="0.75" bottom="0.75" header="0.3" footer="0.3"/>
</x:worksheet>
</file>