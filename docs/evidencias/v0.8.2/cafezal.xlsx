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salarial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Dados originais" sheetId="3" state="visible" r:id="rId3"/>
    <sheet xmlns:r="http://schemas.openxmlformats.org/officeDocument/2006/relationships" name="Fontes e premissas" sheetId="4" state="visible" r:id="rId4"/>
  </sheets>
  <definedNames>
    <definedName name="_xlnm.Print_Area" localSheetId="0">'Comparação salarial'!$A$1:$O$54</definedName>
    <definedName name="_xlnm.Print_Area" localSheetId="1">'Parâmetros'!$A$1:$F$39</definedName>
    <definedName name="_xlnm.Print_Area" localSheetId="2">'Dados originais'!$A$1:$O$6</definedName>
    <definedName name="_xlnm.Print_Area" localSheetId="3">'Fontes e premissas'!$A$1:$C$17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 #,##0.00;-&quot;R$&quot; #,##0.00;&quot;R$&quot; 0.0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6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C4D79B"/>
      </patternFill>
    </fill>
    <fill>
      <patternFill patternType="solid">
        <fgColor rgb="00403152"/>
      </patternFill>
    </fill>
    <fill>
      <patternFill patternType="solid">
        <fgColor rgb="00B1A0C7"/>
      </patternFill>
    </fill>
    <fill>
      <patternFill patternType="solid">
        <fgColor rgb="00FF0000"/>
      </patternFill>
    </fill>
    <fill>
      <patternFill patternType="solid">
        <fgColor rgb="00E6B8B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4F6228"/>
      </bottom>
    </border>
    <border>
      <bottom style="thin">
        <color rgb="00403152"/>
      </bottom>
    </border>
    <border>
      <bottom style="thin">
        <color rgb="00FF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10" fontId="3" fillId="3" borderId="0" applyAlignment="1" pivotButton="0" quotePrefix="0" xfId="0">
      <alignment horizontal="left" vertical="center"/>
    </xf>
    <xf numFmtId="10" fontId="3" fillId="3" borderId="0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right" vertical="center"/>
    </xf>
    <xf numFmtId="164" fontId="3" fillId="0" borderId="3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 wrapText="1"/>
    </xf>
    <xf numFmtId="10" fontId="7" fillId="6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right" vertical="center" wrapText="1"/>
    </xf>
    <xf numFmtId="164" fontId="8" fillId="8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Equipe</author>
  </authors>
  <commentList>
    <comment ref="B9" authorId="0" shapeId="0">
      <text>
        <t>Lei Federal nº 15.437/2026
https://www.planalto.gov.br/ccivil_03/_ato2023-2026/2026/lei/l15437.htm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O54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10" customWidth="1" min="2" max="2"/>
    <ns0:col width="16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</ns0:cols>
  <ns0:sheetData>
    <ns0:row r="1" ht="30" customHeight="1">
      <ns0:c r="A1" s="1" t="inlineStr">
        <ns0:is>
          <ns0:t>ANÁLISE SALARIAL — CAFEZAL DO SUL / PR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  <ns0:c r="O1" s="1" t="n"/>
    </ns0:row>
    <ns0:row r="2" ht="30" customHeight="1">
      <ns0:c r="A2" s="2" t="inlineStr">
        <ns0:is>
          <ns0:t>Professor/a · 2026 · 20 horas semanais · Anexo A da LC 064/2026</ns0:t>
        </ns0:is>
      </ns0:c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</ns0:row>
    <ns0:row r="3" ht="30" customHeight="1">
      <ns0:c r="A3" s="2" t="inlineStr">
        <ns0:is>
          <ns0:t>Referência: PSPN 2026 (pspn). Fonte, competência e decisões: aba Fontes e premissas.</ns0:t>
        </ns0:is>
      </ns0:c>
      <ns0:c r="B3" s="2" t="n"/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2" t="n"/>
    </ns0:row>
    <ns0:row r="4">
      <ns0:c r="A4" s="3" t="inlineStr">
        <ns0:is>
          <ns0:t>Base da referência:</ns0:t>
        </ns0:is>
      </ns0:c>
      <ns0:c r="D4" s="4">
        <ns0:f>'Parâmetros'!B13</ns0:f>
        <ns0:v>2565.31</ns0:v>
      </ns0:c>
    </ns0:row>
    <ns0:row r="5" ht="28" customHeight="1">
      <ns0:c r="A5" s="5" t="inlineStr">
        <ns0:is>
          <ns0:t>ESTRUTURA DE PROMOÇÃO / PROGRESSÃO</ns0:t>
        </ns0:is>
      </ns0:c>
      <ns0:c r="B5" s="5" t="n"/>
      <ns0:c r="C5" s="5" t="n"/>
      <ns0:c r="D5" s="5" t="n"/>
      <ns0:c r="E5" s="5" t="n"/>
      <ns0:c r="F5" s="5" t="n"/>
      <ns0:c r="G5" s="5" t="n"/>
      <ns0:c r="H5" s="5" t="n"/>
      <ns0:c r="I5" s="5" t="n"/>
      <ns0:c r="J5" s="5" t="n"/>
      <ns0:c r="K5" s="5" t="n"/>
      <ns0:c r="L5" s="5" t="n"/>
      <ns0:c r="M5" s="5" t="n"/>
      <ns0:c r="N5" s="5" t="n"/>
      <ns0:c r="O5" s="5" t="n"/>
    </ns0:row>
    <ns0:row r="6" ht="24" customHeight="1">
      <ns0:c r="A6" s="6" t="inlineStr">
        <ns0:is>
          <ns0:t>PROFESSOR/A — 20 HORAS</ns0:t>
        </ns0:is>
      </ns0:c>
      <ns0:c r="B6" s="6" t="n"/>
      <ns0:c r="C6" s="6" t="n"/>
      <ns0:c r="D6" s="6" t="n"/>
      <ns0:c r="E6" s="6" t="n"/>
      <ns0:c r="F6" s="6" t="n"/>
      <ns0:c r="G6" s="6" t="n"/>
      <ns0:c r="H6" s="6" t="n"/>
      <ns0:c r="I6" s="6" t="n"/>
      <ns0:c r="J6" s="6" t="n"/>
      <ns0:c r="K6" s="6" t="n"/>
      <ns0:c r="L6" s="6" t="n"/>
      <ns0:c r="M6" s="6" t="n"/>
      <ns0:c r="N6" s="6" t="n"/>
      <ns0:c r="O6" s="6" t="n"/>
    </ns0:row>
    <ns0:row r="7" ht="28" customHeight="1">
      <ns0:c r="A7" s="7" t="inlineStr">
        <ns0:is>
          <ns0:t>Classes →</ns0:t>
        </ns0:is>
      </ns0:c>
      <ns0:c r="B7" s="7" t="inlineStr">
        <ns0:is>
          <ns0:t>Nível</ns0:t>
        </ns0:is>
      </ns0:c>
      <ns0:c r="C7" s="7" t="inlineStr">
        <ns0:is>
          <ns0:t>Regra vertical</ns0:t>
        </ns0:is>
      </ns0:c>
      <ns0:c r="D7" s="7" t="inlineStr">
        <ns0:is>
          <ns0:t>1</ns0:t>
        </ns0:is>
      </ns0:c>
      <ns0:c r="E7" s="7" t="inlineStr">
        <ns0:is>
          <ns0:t>2</ns0:t>
        </ns0:is>
      </ns0:c>
      <ns0:c r="F7" s="7" t="inlineStr">
        <ns0:is>
          <ns0:t>3</ns0:t>
        </ns0:is>
      </ns0:c>
      <ns0:c r="G7" s="7" t="inlineStr">
        <ns0:is>
          <ns0:t>4</ns0:t>
        </ns0:is>
      </ns0:c>
      <ns0:c r="H7" s="7" t="inlineStr">
        <ns0:is>
          <ns0:t>5</ns0:t>
        </ns0:is>
      </ns0:c>
      <ns0:c r="I7" s="7" t="inlineStr">
        <ns0:is>
          <ns0:t>6</ns0:t>
        </ns0:is>
      </ns0:c>
      <ns0:c r="J7" s="7" t="inlineStr">
        <ns0:is>
          <ns0:t>7</ns0:t>
        </ns0:is>
      </ns0:c>
      <ns0:c r="K7" s="7" t="inlineStr">
        <ns0:is>
          <ns0:t>8</ns0:t>
        </ns0:is>
      </ns0:c>
      <ns0:c r="L7" s="7" t="inlineStr">
        <ns0:is>
          <ns0:t>9</ns0:t>
        </ns0:is>
      </ns0:c>
      <ns0:c r="M7" s="7" t="inlineStr">
        <ns0:is>
          <ns0:t>10</ns0:t>
        </ns0:is>
      </ns0:c>
      <ns0:c r="N7" s="7" t="inlineStr">
        <ns0:is>
          <ns0:t>11</ns0:t>
        </ns0:is>
      </ns0:c>
      <ns0:c r="O7" s="7" t="inlineStr">
        <ns0:is>
          <ns0:t>12</ns0:t>
        </ns0:is>
      </ns0:c>
    </ns0:row>
    <ns0:row r="8" ht="26" customHeight="1">
      <ns0:c r="A8" s="3" t="inlineStr">
        <ns0:is>
          <ns0:t>Níveis ↓</ns0:t>
        </ns0:is>
      </ns0:c>
      <ns0:c r="B8" s="3" t="inlineStr">
        <ns0:is>
          <ns0:t>A</ns0:t>
        </ns0:is>
      </ns0:c>
      <ns0:c r="C8" s="3" t="inlineStr">
        <ns0:is>
          <ns0:t>Base</ns0:t>
        </ns0:is>
      </ns0:c>
      <ns0:c r="D8" s="8" t="inlineStr">
        <ns0:is>
          <ns0:t>Entrada</ns0:t>
        </ns0:is>
      </ns0:c>
      <ns0:c r="E8" s="9">
        <ns0:f>'Parâmetros'!C26/100</ns0:f>
        <ns0:v>0.02</ns0:v>
      </ns0:c>
      <ns0:c r="F8" s="9">
        <ns0:f>'Parâmetros'!C27/100</ns0:f>
        <ns0:v>0.02</ns0:v>
      </ns0:c>
      <ns0:c r="G8" s="9">
        <ns0:f>'Parâmetros'!C28/100</ns0:f>
        <ns0:v>0.02</ns0:v>
      </ns0:c>
      <ns0:c r="H8" s="9">
        <ns0:f>'Parâmetros'!C29/100</ns0:f>
        <ns0:v>0.02</ns0:v>
      </ns0:c>
      <ns0:c r="I8" s="9">
        <ns0:f>'Parâmetros'!C30/100</ns0:f>
        <ns0:v>0.02</ns0:v>
      </ns0:c>
      <ns0:c r="J8" s="9">
        <ns0:f>'Parâmetros'!C31/100</ns0:f>
        <ns0:v>0.02</ns0:v>
      </ns0:c>
      <ns0:c r="K8" s="9">
        <ns0:f>'Parâmetros'!C32/100</ns0:f>
        <ns0:v>0.02</ns0:v>
      </ns0:c>
      <ns0:c r="L8" s="9">
        <ns0:f>'Parâmetros'!C33/100</ns0:f>
        <ns0:v>0.02</ns0:v>
      </ns0:c>
      <ns0:c r="M8" s="9">
        <ns0:f>'Parâmetros'!C34/100</ns0:f>
        <ns0:v>0.02</ns0:v>
      </ns0:c>
      <ns0:c r="N8" s="9">
        <ns0:f>'Parâmetros'!C35/100</ns0:f>
        <ns0:v>0.02</ns0:v>
      </ns0:c>
      <ns0:c r="O8" s="9">
        <ns0:f>'Parâmetros'!C36/100</ns0:f>
        <ns0:v>0.02</ns0:v>
      </ns0:c>
    </ns0:row>
    <ns0:row r="9" ht="26" customHeight="1">
      <ns0:c r="B9" s="10" t="inlineStr">
        <ns0:is>
          <ns0:t>B</ns0:t>
        </ns0:is>
      </ns0:c>
      <ns0:c r="C9" s="11" t="str">
        <ns0:f> "+"&amp;TEXT('Parâmetros'!D20,"0.00")&amp;IF('Parâmetros'!C20="valor_fixo"," R$ / ","% / ")&amp;'Parâmetros'!E20</ns0:f>
        <ns0:v>+12.00% / A</ns0:v>
      </ns0:c>
      <ns0:c r="D9" s="12" t="inlineStr">
        <ns0:is>
          <ns0:t>Entrada</ns0:t>
        </ns0:is>
      </ns0:c>
      <ns0:c r="E9" s="13">
        <ns0:f>'Parâmetros'!C26/100</ns0:f>
        <ns0:v>0.02</ns0:v>
      </ns0:c>
      <ns0:c r="F9" s="13">
        <ns0:f>'Parâmetros'!C27/100</ns0:f>
        <ns0:v>0.02</ns0:v>
      </ns0:c>
      <ns0:c r="G9" s="13">
        <ns0:f>'Parâmetros'!C28/100</ns0:f>
        <ns0:v>0.02</ns0:v>
      </ns0:c>
      <ns0:c r="H9" s="13">
        <ns0:f>'Parâmetros'!C29/100</ns0:f>
        <ns0:v>0.02</ns0:v>
      </ns0:c>
      <ns0:c r="I9" s="13">
        <ns0:f>'Parâmetros'!C30/100</ns0:f>
        <ns0:v>0.02</ns0:v>
      </ns0:c>
      <ns0:c r="J9" s="13">
        <ns0:f>'Parâmetros'!C31/100</ns0:f>
        <ns0:v>0.02</ns0:v>
      </ns0:c>
      <ns0:c r="K9" s="13">
        <ns0:f>'Parâmetros'!C32/100</ns0:f>
        <ns0:v>0.02</ns0:v>
      </ns0:c>
      <ns0:c r="L9" s="13">
        <ns0:f>'Parâmetros'!C33/100</ns0:f>
        <ns0:v>0.02</ns0:v>
      </ns0:c>
      <ns0:c r="M9" s="13">
        <ns0:f>'Parâmetros'!C34/100</ns0:f>
        <ns0:v>0.02</ns0:v>
      </ns0:c>
      <ns0:c r="N9" s="13">
        <ns0:f>'Parâmetros'!C35/100</ns0:f>
        <ns0:v>0.02</ns0:v>
      </ns0:c>
      <ns0:c r="O9" s="13">
        <ns0:f>'Parâmetros'!C36/100</ns0:f>
        <ns0:v>0.02</ns0:v>
      </ns0:c>
    </ns0:row>
    <ns0:row r="10" ht="26" customHeight="1">
      <ns0:c r="A10" s="14" t="n"/>
      <ns0:c r="B10" s="15" t="inlineStr">
        <ns0:is>
          <ns0:t>C</ns0:t>
        </ns0:is>
      </ns0:c>
      <ns0:c r="C10" s="16" t="str">
        <ns0:f> "+"&amp;TEXT('Parâmetros'!D21,"0.00")&amp;IF('Parâmetros'!C21="valor_fixo"," R$ / ","% / ")&amp;'Parâmetros'!E21</ns0:f>
        <ns0:v>+27.00% / A</ns0:v>
      </ns0:c>
      <ns0:c r="D10" s="17" t="inlineStr">
        <ns0:is>
          <ns0:t>Entrada</ns0:t>
        </ns0:is>
      </ns0:c>
      <ns0:c r="E10" s="18">
        <ns0:f>'Parâmetros'!C26/100</ns0:f>
        <ns0:v>0.02</ns0:v>
      </ns0:c>
      <ns0:c r="F10" s="18">
        <ns0:f>'Parâmetros'!C27/100</ns0:f>
        <ns0:v>0.02</ns0:v>
      </ns0:c>
      <ns0:c r="G10" s="18">
        <ns0:f>'Parâmetros'!C28/100</ns0:f>
        <ns0:v>0.02</ns0:v>
      </ns0:c>
      <ns0:c r="H10" s="18">
        <ns0:f>'Parâmetros'!C29/100</ns0:f>
        <ns0:v>0.02</ns0:v>
      </ns0:c>
      <ns0:c r="I10" s="18">
        <ns0:f>'Parâmetros'!C30/100</ns0:f>
        <ns0:v>0.02</ns0:v>
      </ns0:c>
      <ns0:c r="J10" s="18">
        <ns0:f>'Parâmetros'!C31/100</ns0:f>
        <ns0:v>0.02</ns0:v>
      </ns0:c>
      <ns0:c r="K10" s="18">
        <ns0:f>'Parâmetros'!C32/100</ns0:f>
        <ns0:v>0.02</ns0:v>
      </ns0:c>
      <ns0:c r="L10" s="18">
        <ns0:f>'Parâmetros'!C33/100</ns0:f>
        <ns0:v>0.02</ns0:v>
      </ns0:c>
      <ns0:c r="M10" s="18">
        <ns0:f>'Parâmetros'!C34/100</ns0:f>
        <ns0:v>0.02</ns0:v>
      </ns0:c>
      <ns0:c r="N10" s="18">
        <ns0:f>'Parâmetros'!C35/100</ns0:f>
        <ns0:v>0.02</ns0:v>
      </ns0:c>
      <ns0:c r="O10" s="18">
        <ns0:f>'Parâmetros'!C36/100</ns0:f>
        <ns0:v>0.02</ns0:v>
      </ns0:c>
    </ns0:row>
    <ns0:row r="13" ht="28" customHeight="1">
      <ns0:c r="A13" s="5" t="inlineStr">
        <ns0:is>
          <ns0:t>• TABELA DE VENCIMENTOS 2026 •</ns0:t>
        </ns0:is>
      </ns0:c>
      <ns0:c r="B13" s="5" t="n"/>
      <ns0:c r="C13" s="5" t="n"/>
      <ns0:c r="D13" s="5" t="n"/>
      <ns0:c r="E13" s="5" t="n"/>
      <ns0:c r="F13" s="5" t="n"/>
      <ns0:c r="G13" s="5" t="n"/>
      <ns0:c r="H13" s="5" t="n"/>
      <ns0:c r="I13" s="5" t="n"/>
      <ns0:c r="J13" s="5" t="n"/>
      <ns0:c r="K13" s="5" t="n"/>
      <ns0:c r="L13" s="5" t="n"/>
      <ns0:c r="M13" s="5" t="n"/>
      <ns0:c r="N13" s="5" t="n"/>
      <ns0:c r="O13" s="5" t="n"/>
    </ns0:row>
    <ns0:row r="14" ht="24" customHeight="1">
      <ns0:c r="A14" s="6" t="inlineStr">
        <ns0:is>
          <ns0:t>PROFESSOR/A — 20 HORAS</ns0:t>
        </ns0:is>
      </ns0:c>
      <ns0:c r="B14" s="6" t="n"/>
      <ns0:c r="C14" s="6" t="n"/>
      <ns0:c r="D14" s="6" t="n"/>
      <ns0:c r="E14" s="6" t="n"/>
      <ns0:c r="F14" s="6" t="n"/>
      <ns0:c r="G14" s="6" t="n"/>
      <ns0:c r="H14" s="6" t="n"/>
      <ns0:c r="I14" s="6" t="n"/>
      <ns0:c r="J14" s="6" t="n"/>
      <ns0:c r="K14" s="6" t="n"/>
      <ns0:c r="L14" s="6" t="n"/>
      <ns0:c r="M14" s="6" t="n"/>
      <ns0:c r="N14" s="6" t="n"/>
      <ns0:c r="O14" s="6" t="n"/>
    </ns0:row>
    <ns0:row r="15" ht="28" customHeight="1">
      <ns0:c r="A15" s="7" t="inlineStr">
        <ns0:is>
          <ns0:t>Classes →</ns0:t>
        </ns0:is>
      </ns0:c>
      <ns0:c r="B15" s="7" t="inlineStr">
        <ns0:is>
          <ns0:t>Nível</ns0:t>
        </ns0:is>
      </ns0:c>
      <ns0:c r="C15" s="7" t="inlineStr">
        <ns0:is>
          <ns0:t>Regra vertical</ns0:t>
        </ns0:is>
      </ns0:c>
      <ns0:c r="D15" s="7" t="inlineStr">
        <ns0:is>
          <ns0:t>1</ns0:t>
        </ns0:is>
      </ns0:c>
      <ns0:c r="E15" s="7" t="inlineStr">
        <ns0:is>
          <ns0:t>2</ns0:t>
        </ns0:is>
      </ns0:c>
      <ns0:c r="F15" s="7" t="inlineStr">
        <ns0:is>
          <ns0:t>3</ns0:t>
        </ns0:is>
      </ns0:c>
      <ns0:c r="G15" s="7" t="inlineStr">
        <ns0:is>
          <ns0:t>4</ns0:t>
        </ns0:is>
      </ns0:c>
      <ns0:c r="H15" s="7" t="inlineStr">
        <ns0:is>
          <ns0:t>5</ns0:t>
        </ns0:is>
      </ns0:c>
      <ns0:c r="I15" s="7" t="inlineStr">
        <ns0:is>
          <ns0:t>6</ns0:t>
        </ns0:is>
      </ns0:c>
      <ns0:c r="J15" s="7" t="inlineStr">
        <ns0:is>
          <ns0:t>7</ns0:t>
        </ns0:is>
      </ns0:c>
      <ns0:c r="K15" s="7" t="inlineStr">
        <ns0:is>
          <ns0:t>8</ns0:t>
        </ns0:is>
      </ns0:c>
      <ns0:c r="L15" s="7" t="inlineStr">
        <ns0:is>
          <ns0:t>9</ns0:t>
        </ns0:is>
      </ns0:c>
      <ns0:c r="M15" s="7" t="inlineStr">
        <ns0:is>
          <ns0:t>10</ns0:t>
        </ns0:is>
      </ns0:c>
      <ns0:c r="N15" s="7" t="inlineStr">
        <ns0:is>
          <ns0:t>11</ns0:t>
        </ns0:is>
      </ns0:c>
      <ns0:c r="O15" s="7" t="inlineStr">
        <ns0:is>
          <ns0:t>12</ns0:t>
        </ns0:is>
      </ns0:c>
    </ns0:row>
    <ns0:row r="16" ht="26" customHeight="1">
      <ns0:c r="A16" s="3" t="inlineStr">
        <ns0:is>
          <ns0:t>Níveis ↓</ns0:t>
        </ns0:is>
      </ns0:c>
      <ns0:c r="B16" s="3" t="inlineStr">
        <ns0:is>
          <ns0:t>A</ns0:t>
        </ns0:is>
      </ns0:c>
      <ns0:c r="C16" s="3" t="inlineStr">
        <ns0:is>
          <ns0:t>Base</ns0:t>
        </ns0:is>
      </ns0:c>
      <ns0:c r="D16" s="4">
        <ns0:f>'Dados originais'!D4</ns0:f>
        <ns0:v>2565.31</ns0:v>
      </ns0:c>
      <ns0:c r="E16" s="4">
        <ns0:f>'Dados originais'!E4</ns0:f>
        <ns0:v>2616.61</ns0:v>
      </ns0:c>
      <ns0:c r="F16" s="4">
        <ns0:f>'Dados originais'!F4</ns0:f>
        <ns0:v>2668.94</ns0:v>
      </ns0:c>
      <ns0:c r="G16" s="4">
        <ns0:f>'Dados originais'!G4</ns0:f>
        <ns0:v>2722.31</ns0:v>
      </ns0:c>
      <ns0:c r="H16" s="4">
        <ns0:f>'Dados originais'!H4</ns0:f>
        <ns0:v>2776.75</ns0:v>
      </ns0:c>
      <ns0:c r="I16" s="4">
        <ns0:f>'Dados originais'!I4</ns0:f>
        <ns0:v>2832.28</ns0:v>
      </ns0:c>
      <ns0:c r="J16" s="4">
        <ns0:f>'Dados originais'!J4</ns0:f>
        <ns0:v>2888.92</ns0:v>
      </ns0:c>
      <ns0:c r="K16" s="4">
        <ns0:f>'Dados originais'!K4</ns0:f>
        <ns0:v>2946.69</ns0:v>
      </ns0:c>
      <ns0:c r="L16" s="4">
        <ns0:f>'Dados originais'!L4</ns0:f>
        <ns0:v>3005.62</ns0:v>
      </ns0:c>
      <ns0:c r="M16" s="4">
        <ns0:f>'Dados originais'!M4</ns0:f>
        <ns0:v>3065.73</ns0:v>
      </ns0:c>
      <ns0:c r="N16" s="4">
        <ns0:f>'Dados originais'!N4</ns0:f>
        <ns0:v>3127.04</ns0:v>
      </ns0:c>
      <ns0:c r="O16" s="4">
        <ns0:f>'Dados originais'!O4</ns0:f>
        <ns0:v>3189.58</ns0:v>
      </ns0:c>
    </ns0:row>
    <ns0:row r="17" ht="26" customHeight="1">
      <ns0:c r="B17" s="10" t="inlineStr">
        <ns0:is>
          <ns0:t>B</ns0:t>
        </ns0:is>
      </ns0:c>
      <ns0:c r="C17" s="11" t="str">
        <ns0:f> "+"&amp;TEXT('Parâmetros'!D20,"0.00")&amp;IF('Parâmetros'!C20="valor_fixo"," R$ / ","% / ")&amp;'Parâmetros'!E20</ns0:f>
        <ns0:v>+12.00% / A</ns0:v>
      </ns0:c>
      <ns0:c r="D17" s="19">
        <ns0:f>'Dados originais'!D5</ns0:f>
        <ns0:v>2873.14</ns0:v>
      </ns0:c>
      <ns0:c r="E17" s="19">
        <ns0:f>'Dados originais'!E5</ns0:f>
        <ns0:v>2930.6</ns0:v>
      </ns0:c>
      <ns0:c r="F17" s="19">
        <ns0:f>'Dados originais'!F5</ns0:f>
        <ns0:v>2989.21</ns0:v>
      </ns0:c>
      <ns0:c r="G17" s="19">
        <ns0:f>'Dados originais'!G5</ns0:f>
        <ns0:v>3048.99</ns0:v>
      </ns0:c>
      <ns0:c r="H17" s="19">
        <ns0:f>'Dados originais'!H5</ns0:f>
        <ns0:v>3109.96</ns0:v>
      </ns0:c>
      <ns0:c r="I17" s="19">
        <ns0:f>'Dados originais'!I5</ns0:f>
        <ns0:v>3172.15</ns0:v>
      </ns0:c>
      <ns0:c r="J17" s="19">
        <ns0:f>'Dados originais'!J5</ns0:f>
        <ns0:v>3235.59</ns0:v>
      </ns0:c>
      <ns0:c r="K17" s="19">
        <ns0:f>'Dados originais'!K5</ns0:f>
        <ns0:v>3300.3</ns0:v>
      </ns0:c>
      <ns0:c r="L17" s="19">
        <ns0:f>'Dados originais'!L5</ns0:f>
        <ns0:v>3366.3</ns0:v>
      </ns0:c>
      <ns0:c r="M17" s="19">
        <ns0:f>'Dados originais'!M5</ns0:f>
        <ns0:v>3433.62</ns0:v>
      </ns0:c>
      <ns0:c r="N17" s="19">
        <ns0:f>'Dados originais'!N5</ns0:f>
        <ns0:v>3502.29</ns0:v>
      </ns0:c>
      <ns0:c r="O17" s="19">
        <ns0:f>'Dados originais'!O5</ns0:f>
        <ns0:v>3572.33</ns0:v>
      </ns0:c>
    </ns0:row>
    <ns0:row r="18" ht="26" customHeight="1">
      <ns0:c r="A18" s="14" t="n"/>
      <ns0:c r="B18" s="15" t="inlineStr">
        <ns0:is>
          <ns0:t>C</ns0:t>
        </ns0:is>
      </ns0:c>
      <ns0:c r="C18" s="16" t="str">
        <ns0:f> "+"&amp;TEXT('Parâmetros'!D21,"0.00")&amp;IF('Parâmetros'!C21="valor_fixo"," R$ / ","% / ")&amp;'Parâmetros'!E21</ns0:f>
        <ns0:v>+27.00% / A</ns0:v>
      </ns0:c>
      <ns0:c r="D18" s="20">
        <ns0:f>'Dados originais'!D6</ns0:f>
        <ns0:v>3257.94</ns0:v>
      </ns0:c>
      <ns0:c r="E18" s="20">
        <ns0:f>'Dados originais'!E6</ns0:f>
        <ns0:v>3323.09</ns0:v>
      </ns0:c>
      <ns0:c r="F18" s="20">
        <ns0:f>'Dados originais'!F6</ns0:f>
        <ns0:v>3389.55</ns0:v>
      </ns0:c>
      <ns0:c r="G18" s="20">
        <ns0:f>'Dados originais'!G6</ns0:f>
        <ns0:v>3457.34</ns0:v>
      </ns0:c>
      <ns0:c r="H18" s="20">
        <ns0:f>'Dados originais'!H6</ns0:f>
        <ns0:v>3526.48</ns0:v>
      </ns0:c>
      <ns0:c r="I18" s="20">
        <ns0:f>'Dados originais'!I6</ns0:f>
        <ns0:v>3597.0</ns0:v>
      </ns0:c>
      <ns0:c r="J18" s="20">
        <ns0:f>'Dados originais'!J6</ns0:f>
        <ns0:v>3668.94</ns0:v>
      </ns0:c>
      <ns0:c r="K18" s="20">
        <ns0:f>'Dados originais'!K6</ns0:f>
        <ns0:v>3742.31</ns0:v>
      </ns0:c>
      <ns0:c r="L18" s="20">
        <ns0:f>'Dados originais'!L6</ns0:f>
        <ns0:v>3817.15</ns0:v>
      </ns0:c>
      <ns0:c r="M18" s="20">
        <ns0:f>'Dados originais'!M6</ns0:f>
        <ns0:v>3893.49</ns0:v>
      </ns0:c>
      <ns0:c r="N18" s="20">
        <ns0:f>'Dados originais'!N6</ns0:f>
        <ns0:v>3971.35</ns0:v>
      </ns0:c>
      <ns0:c r="O18" s="20">
        <ns0:f>'Dados originais'!O6</ns0:f>
        <ns0:v>4050.77</ns0:v>
      </ns0:c>
    </ns0:row>
    <ns0:row r="21" ht="28" customHeight="1">
      <ns0:c r="A21" s="21" t="inlineStr">
        <ns0:is>
          <ns0:t>• TABELA DE VENCIMENTOS — REFERÊNCIA PSPN 2026 •</ns0:t>
        </ns0:is>
      </ns0:c>
      <ns0:c r="B21" s="21" t="n"/>
      <ns0:c r="C21" s="21" t="n"/>
      <ns0:c r="D21" s="21" t="n"/>
      <ns0:c r="E21" s="21" t="n"/>
      <ns0:c r="F21" s="21" t="n"/>
      <ns0:c r="G21" s="21" t="n"/>
      <ns0:c r="H21" s="21" t="n"/>
      <ns0:c r="I21" s="21" t="n"/>
      <ns0:c r="J21" s="21" t="n"/>
      <ns0:c r="K21" s="21" t="n"/>
      <ns0:c r="L21" s="21" t="n"/>
      <ns0:c r="M21" s="21" t="n"/>
      <ns0:c r="N21" s="21" t="n"/>
      <ns0:c r="O21" s="21" t="n"/>
    </ns0:row>
    <ns0:row r="22" ht="24" customHeight="1">
      <ns0:c r="A22" s="22" t="inlineStr">
        <ns0:is>
          <ns0:t>PROFESSOR/A — 20 HORAS</ns0:t>
        </ns0:is>
      </ns0:c>
      <ns0:c r="B22" s="22" t="n"/>
      <ns0:c r="C22" s="22" t="n"/>
      <ns0:c r="D22" s="22" t="n"/>
      <ns0:c r="E22" s="22" t="n"/>
      <ns0:c r="F22" s="22" t="n"/>
      <ns0:c r="G22" s="22" t="n"/>
      <ns0:c r="H22" s="22" t="n"/>
      <ns0:c r="I22" s="22" t="n"/>
      <ns0:c r="J22" s="22" t="n"/>
      <ns0:c r="K22" s="22" t="n"/>
      <ns0:c r="L22" s="22" t="n"/>
      <ns0:c r="M22" s="22" t="n"/>
      <ns0:c r="N22" s="22" t="n"/>
      <ns0:c r="O22" s="22" t="n"/>
    </ns0:row>
    <ns0:row r="23" ht="28" customHeight="1">
      <ns0:c r="A23" s="23" t="inlineStr">
        <ns0:is>
          <ns0:t>Classes →</ns0:t>
        </ns0:is>
      </ns0:c>
      <ns0:c r="B23" s="23" t="inlineStr">
        <ns0:is>
          <ns0:t>Nível</ns0:t>
        </ns0:is>
      </ns0:c>
      <ns0:c r="C23" s="23" t="inlineStr">
        <ns0:is>
          <ns0:t>Regra vertical</ns0:t>
        </ns0:is>
      </ns0:c>
      <ns0:c r="D23" s="23" t="inlineStr">
        <ns0:is>
          <ns0:t>1</ns0:t>
        </ns0:is>
      </ns0:c>
      <ns0:c r="E23" s="23" t="inlineStr">
        <ns0:is>
          <ns0:t>2</ns0:t>
        </ns0:is>
      </ns0:c>
      <ns0:c r="F23" s="23" t="inlineStr">
        <ns0:is>
          <ns0:t>3</ns0:t>
        </ns0:is>
      </ns0:c>
      <ns0:c r="G23" s="23" t="inlineStr">
        <ns0:is>
          <ns0:t>4</ns0:t>
        </ns0:is>
      </ns0:c>
      <ns0:c r="H23" s="23" t="inlineStr">
        <ns0:is>
          <ns0:t>5</ns0:t>
        </ns0:is>
      </ns0:c>
      <ns0:c r="I23" s="23" t="inlineStr">
        <ns0:is>
          <ns0:t>6</ns0:t>
        </ns0:is>
      </ns0:c>
      <ns0:c r="J23" s="23" t="inlineStr">
        <ns0:is>
          <ns0:t>7</ns0:t>
        </ns0:is>
      </ns0:c>
      <ns0:c r="K23" s="23" t="inlineStr">
        <ns0:is>
          <ns0:t>8</ns0:t>
        </ns0:is>
      </ns0:c>
      <ns0:c r="L23" s="23" t="inlineStr">
        <ns0:is>
          <ns0:t>9</ns0:t>
        </ns0:is>
      </ns0:c>
      <ns0:c r="M23" s="23" t="inlineStr">
        <ns0:is>
          <ns0:t>10</ns0:t>
        </ns0:is>
      </ns0:c>
      <ns0:c r="N23" s="23" t="inlineStr">
        <ns0:is>
          <ns0:t>11</ns0:t>
        </ns0:is>
      </ns0:c>
      <ns0:c r="O23" s="23" t="inlineStr">
        <ns0:is>
          <ns0:t>12</ns0:t>
        </ns0:is>
      </ns0:c>
    </ns0:row>
    <ns0:row r="24" ht="26" customHeight="1">
      <ns0:c r="A24" s="3" t="inlineStr">
        <ns0:is>
          <ns0:t>Níveis ↓</ns0:t>
        </ns0:is>
      </ns0:c>
      <ns0:c r="B24" s="3" t="inlineStr">
        <ns0:is>
          <ns0:t>A</ns0:t>
        </ns0:is>
      </ns0:c>
      <ns0:c r="C24" s="3" t="inlineStr">
        <ns0:is>
          <ns0:t>Base</ns0:t>
        </ns0:is>
      </ns0:c>
      <ns0:c r="D24" s="4">
        <ns0:f>'Parâmetros'!B13</ns0:f>
        <ns0:v>2565.31</ns0:v>
      </ns0:c>
      <ns0:c r="E24" s="4">
        <ns0:f>IF('Parâmetros'!$B$12="truncar",ROUNDDOWN(D24*(1+'Parâmetros'!C26/100),2),ROUND(D24*(1+'Parâmetros'!C26/100),2))</ns0:f>
        <ns0:v>2616.61</ns0:v>
      </ns0:c>
      <ns0:c r="F24" s="4">
        <ns0:f>IF('Parâmetros'!$B$12="truncar",ROUNDDOWN(E24*(1+'Parâmetros'!C27/100),2),ROUND(E24*(1+'Parâmetros'!C27/100),2))</ns0:f>
        <ns0:v>2668.94</ns0:v>
      </ns0:c>
      <ns0:c r="G24" s="4">
        <ns0:f>IF('Parâmetros'!$B$12="truncar",ROUNDDOWN(F24*(1+'Parâmetros'!C28/100),2),ROUND(F24*(1+'Parâmetros'!C28/100),2))</ns0:f>
        <ns0:v>2722.31</ns0:v>
      </ns0:c>
      <ns0:c r="H24" s="4">
        <ns0:f>IF('Parâmetros'!$B$12="truncar",ROUNDDOWN(G24*(1+'Parâmetros'!C29/100),2),ROUND(G24*(1+'Parâmetros'!C29/100),2))</ns0:f>
        <ns0:v>2776.75</ns0:v>
      </ns0:c>
      <ns0:c r="I24" s="4">
        <ns0:f>IF('Parâmetros'!$B$12="truncar",ROUNDDOWN(H24*(1+'Parâmetros'!C30/100),2),ROUND(H24*(1+'Parâmetros'!C30/100),2))</ns0:f>
        <ns0:v>2832.28</ns0:v>
      </ns0:c>
      <ns0:c r="J24" s="4">
        <ns0:f>IF('Parâmetros'!$B$12="truncar",ROUNDDOWN(I24*(1+'Parâmetros'!C31/100),2),ROUND(I24*(1+'Parâmetros'!C31/100),2))</ns0:f>
        <ns0:v>2888.92</ns0:v>
      </ns0:c>
      <ns0:c r="K24" s="4">
        <ns0:f>IF('Parâmetros'!$B$12="truncar",ROUNDDOWN(J24*(1+'Parâmetros'!C32/100),2),ROUND(J24*(1+'Parâmetros'!C32/100),2))</ns0:f>
        <ns0:v>2946.69</ns0:v>
      </ns0:c>
      <ns0:c r="L24" s="4">
        <ns0:f>IF('Parâmetros'!$B$12="truncar",ROUNDDOWN(K24*(1+'Parâmetros'!C33/100),2),ROUND(K24*(1+'Parâmetros'!C33/100),2))</ns0:f>
        <ns0:v>3005.62</ns0:v>
      </ns0:c>
      <ns0:c r="M24" s="4">
        <ns0:f>IF('Parâmetros'!$B$12="truncar",ROUNDDOWN(L24*(1+'Parâmetros'!C34/100),2),ROUND(L24*(1+'Parâmetros'!C34/100),2))</ns0:f>
        <ns0:v>3065.73</ns0:v>
      </ns0:c>
      <ns0:c r="N24" s="4">
        <ns0:f>IF('Parâmetros'!$B$12="truncar",ROUNDDOWN(M24*(1+'Parâmetros'!C35/100),2),ROUND(M24*(1+'Parâmetros'!C35/100),2))</ns0:f>
        <ns0:v>3127.04</ns0:v>
      </ns0:c>
      <ns0:c r="O24" s="4">
        <ns0:f>IF('Parâmetros'!$B$12="truncar",ROUNDDOWN(N24*(1+'Parâmetros'!C36/100),2),ROUND(N24*(1+'Parâmetros'!C36/100),2))</ns0:f>
        <ns0:v>3189.58</ns0:v>
      </ns0:c>
    </ns0:row>
    <ns0:row r="25" ht="26" customHeight="1">
      <ns0:c r="B25" s="24" t="inlineStr">
        <ns0:is>
          <ns0:t>B</ns0:t>
        </ns0:is>
      </ns0:c>
      <ns0:c r="C25" s="25" t="str">
        <ns0:f> "+"&amp;TEXT('Parâmetros'!D20,"0.00")&amp;IF('Parâmetros'!C20="valor_fixo"," R$ / ","% / ")&amp;'Parâmetros'!E20</ns0:f>
        <ns0:v>+12.00% / A</ns0:v>
      </ns0:c>
      <ns0:c r="D25" s="26">
        <ns0:f>IF('Parâmetros'!$B$12="truncar",ROUNDDOWN(IF('Parâmetros'!C20="valor_fixo",SUMIF('Parâmetros'!$A$19:$A$19,'Parâmetros'!E20,$D$24:$D$24)+'Parâmetros'!D20,SUMIF('Parâmetros'!$A$19:$A$19,'Parâmetros'!E20,$D$24:$D$24)*(1+'Parâmetros'!D20/100)),2),ROUND(IF('Parâmetros'!C20="valor_fixo",SUMIF('Parâmetros'!$A$19:$A$19,'Parâmetros'!E20,$D$24:$D$24)+'Parâmetros'!D20,SUMIF('Parâmetros'!$A$19:$A$19,'Parâmetros'!E20,$D$24:$D$24)*(1+'Parâmetros'!D20/100)),2))</ns0:f>
        <ns0:v>2873.14</ns0:v>
      </ns0:c>
      <ns0:c r="E25" s="26">
        <ns0:f>IF('Parâmetros'!$B$12="truncar",ROUNDDOWN(D25*(1+'Parâmetros'!C26/100),2),ROUND(D25*(1+'Parâmetros'!C26/100),2))</ns0:f>
        <ns0:v>2930.6</ns0:v>
      </ns0:c>
      <ns0:c r="F25" s="26">
        <ns0:f>IF('Parâmetros'!$B$12="truncar",ROUNDDOWN(E25*(1+'Parâmetros'!C27/100),2),ROUND(E25*(1+'Parâmetros'!C27/100),2))</ns0:f>
        <ns0:v>2989.21</ns0:v>
      </ns0:c>
      <ns0:c r="G25" s="26">
        <ns0:f>IF('Parâmetros'!$B$12="truncar",ROUNDDOWN(F25*(1+'Parâmetros'!C28/100),2),ROUND(F25*(1+'Parâmetros'!C28/100),2))</ns0:f>
        <ns0:v>3048.99</ns0:v>
      </ns0:c>
      <ns0:c r="H25" s="26">
        <ns0:f>IF('Parâmetros'!$B$12="truncar",ROUNDDOWN(G25*(1+'Parâmetros'!C29/100),2),ROUND(G25*(1+'Parâmetros'!C29/100),2))</ns0:f>
        <ns0:v>3109.96</ns0:v>
      </ns0:c>
      <ns0:c r="I25" s="26">
        <ns0:f>IF('Parâmetros'!$B$12="truncar",ROUNDDOWN(H25*(1+'Parâmetros'!C30/100),2),ROUND(H25*(1+'Parâmetros'!C30/100),2))</ns0:f>
        <ns0:v>3172.15</ns0:v>
      </ns0:c>
      <ns0:c r="J25" s="26">
        <ns0:f>IF('Parâmetros'!$B$12="truncar",ROUNDDOWN(I25*(1+'Parâmetros'!C31/100),2),ROUND(I25*(1+'Parâmetros'!C31/100),2))</ns0:f>
        <ns0:v>3235.59</ns0:v>
      </ns0:c>
      <ns0:c r="K25" s="26">
        <ns0:f>IF('Parâmetros'!$B$12="truncar",ROUNDDOWN(J25*(1+'Parâmetros'!C32/100),2),ROUND(J25*(1+'Parâmetros'!C32/100),2))</ns0:f>
        <ns0:v>3300.3</ns0:v>
      </ns0:c>
      <ns0:c r="L25" s="26">
        <ns0:f>IF('Parâmetros'!$B$12="truncar",ROUNDDOWN(K25*(1+'Parâmetros'!C33/100),2),ROUND(K25*(1+'Parâmetros'!C33/100),2))</ns0:f>
        <ns0:v>3366.3</ns0:v>
      </ns0:c>
      <ns0:c r="M25" s="26">
        <ns0:f>IF('Parâmetros'!$B$12="truncar",ROUNDDOWN(L25*(1+'Parâmetros'!C34/100),2),ROUND(L25*(1+'Parâmetros'!C34/100),2))</ns0:f>
        <ns0:v>3433.62</ns0:v>
      </ns0:c>
      <ns0:c r="N25" s="26">
        <ns0:f>IF('Parâmetros'!$B$12="truncar",ROUNDDOWN(M25*(1+'Parâmetros'!C35/100),2),ROUND(M25*(1+'Parâmetros'!C35/100),2))</ns0:f>
        <ns0:v>3502.29</ns0:v>
      </ns0:c>
      <ns0:c r="O25" s="26">
        <ns0:f>IF('Parâmetros'!$B$12="truncar",ROUNDDOWN(N25*(1+'Parâmetros'!C36/100),2),ROUND(N25*(1+'Parâmetros'!C36/100),2))</ns0:f>
        <ns0:v>3572.33</ns0:v>
      </ns0:c>
    </ns0:row>
    <ns0:row r="26" ht="26" customHeight="1">
      <ns0:c r="A26" s="27" t="n"/>
      <ns0:c r="B26" s="28" t="inlineStr">
        <ns0:is>
          <ns0:t>C</ns0:t>
        </ns0:is>
      </ns0:c>
      <ns0:c r="C26" s="29" t="str">
        <ns0:f> "+"&amp;TEXT('Parâmetros'!D21,"0.00")&amp;IF('Parâmetros'!C21="valor_fixo"," R$ / ","% / ")&amp;'Parâmetros'!E21</ns0:f>
        <ns0:v>+27.00% / A</ns0:v>
      </ns0:c>
      <ns0:c r="D26" s="30">
        <ns0:f>IF('Parâmetros'!$B$12="truncar",ROUNDDOWN(IF('Parâmetros'!C21="valor_fixo",SUMIF('Parâmetros'!$A$19:$A$20,'Parâmetros'!E21,$D$24:$D$25)+'Parâmetros'!D21,SUMIF('Parâmetros'!$A$19:$A$20,'Parâmetros'!E21,$D$24:$D$25)*(1+'Parâmetros'!D21/100)),2),ROUND(IF('Parâmetros'!C21="valor_fixo",SUMIF('Parâmetros'!$A$19:$A$20,'Parâmetros'!E21,$D$24:$D$25)+'Parâmetros'!D21,SUMIF('Parâmetros'!$A$19:$A$20,'Parâmetros'!E21,$D$24:$D$25)*(1+'Parâmetros'!D21/100)),2))</ns0:f>
        <ns0:v>3257.94</ns0:v>
      </ns0:c>
      <ns0:c r="E26" s="30">
        <ns0:f>IF('Parâmetros'!$B$12="truncar",ROUNDDOWN(D26*(1+'Parâmetros'!C26/100),2),ROUND(D26*(1+'Parâmetros'!C26/100),2))</ns0:f>
        <ns0:v>3323.09</ns0:v>
      </ns0:c>
      <ns0:c r="F26" s="30">
        <ns0:f>IF('Parâmetros'!$B$12="truncar",ROUNDDOWN(E26*(1+'Parâmetros'!C27/100),2),ROUND(E26*(1+'Parâmetros'!C27/100),2))</ns0:f>
        <ns0:v>3389.55</ns0:v>
      </ns0:c>
      <ns0:c r="G26" s="30">
        <ns0:f>IF('Parâmetros'!$B$12="truncar",ROUNDDOWN(F26*(1+'Parâmetros'!C28/100),2),ROUND(F26*(1+'Parâmetros'!C28/100),2))</ns0:f>
        <ns0:v>3457.34</ns0:v>
      </ns0:c>
      <ns0:c r="H26" s="30">
        <ns0:f>IF('Parâmetros'!$B$12="truncar",ROUNDDOWN(G26*(1+'Parâmetros'!C29/100),2),ROUND(G26*(1+'Parâmetros'!C29/100),2))</ns0:f>
        <ns0:v>3526.48</ns0:v>
      </ns0:c>
      <ns0:c r="I26" s="30">
        <ns0:f>IF('Parâmetros'!$B$12="truncar",ROUNDDOWN(H26*(1+'Parâmetros'!C30/100),2),ROUND(H26*(1+'Parâmetros'!C30/100),2))</ns0:f>
        <ns0:v>3597.0</ns0:v>
      </ns0:c>
      <ns0:c r="J26" s="30">
        <ns0:f>IF('Parâmetros'!$B$12="truncar",ROUNDDOWN(I26*(1+'Parâmetros'!C31/100),2),ROUND(I26*(1+'Parâmetros'!C31/100),2))</ns0:f>
        <ns0:v>3668.94</ns0:v>
      </ns0:c>
      <ns0:c r="K26" s="30">
        <ns0:f>IF('Parâmetros'!$B$12="truncar",ROUNDDOWN(J26*(1+'Parâmetros'!C32/100),2),ROUND(J26*(1+'Parâmetros'!C32/100),2))</ns0:f>
        <ns0:v>3742.31</ns0:v>
      </ns0:c>
      <ns0:c r="L26" s="30">
        <ns0:f>IF('Parâmetros'!$B$12="truncar",ROUNDDOWN(K26*(1+'Parâmetros'!C33/100),2),ROUND(K26*(1+'Parâmetros'!C33/100),2))</ns0:f>
        <ns0:v>3817.15</ns0:v>
      </ns0:c>
      <ns0:c r="M26" s="30">
        <ns0:f>IF('Parâmetros'!$B$12="truncar",ROUNDDOWN(L26*(1+'Parâmetros'!C34/100),2),ROUND(L26*(1+'Parâmetros'!C34/100),2))</ns0:f>
        <ns0:v>3893.49</ns0:v>
      </ns0:c>
      <ns0:c r="N26" s="30">
        <ns0:f>IF('Parâmetros'!$B$12="truncar",ROUNDDOWN(M26*(1+'Parâmetros'!C35/100),2),ROUND(M26*(1+'Parâmetros'!C35/100),2))</ns0:f>
        <ns0:v>3971.35</ns0:v>
      </ns0:c>
      <ns0:c r="O26" s="30">
        <ns0:f>IF('Parâmetros'!$B$12="truncar",ROUNDDOWN(N26*(1+'Parâmetros'!C36/100),2),ROUND(N26*(1+'Parâmetros'!C36/100),2))</ns0:f>
        <ns0:v>4050.77</ns0:v>
      </ns0:c>
    </ns0:row>
    <ns0:row r="29" ht="35" customHeight="1">
      <ns0:c r="A29" s="2" t="str">
        <ns0:f>"Neste bloco: "&amp;SUMPRODUCT(--(D16:O18&lt;D24:O26))&amp;" vencimentos abaixo da referência de carreira; "&amp;COUNTIF(D16:O18,"&lt;"&amp;$D$4)&amp;" abaixo da base inicial (em vermelho)."</ns0:f>
        <ns0:v>Neste bloco: 0 vencimentos abaixo da referência de carreira; 0 abaixo da base inicial (em vermelho).</ns0:v>
      </ns0:c>
      <ns0:c r="B29" s="2" t="n"/>
      <ns0:c r="C29" s="2" t="n"/>
      <ns0:c r="D29" s="2" t="n"/>
      <ns0:c r="E29" s="2" t="n"/>
      <ns0:c r="F29" s="2" t="n"/>
      <ns0:c r="G29" s="2" t="n"/>
      <ns0:c r="H29" s="2" t="n"/>
      <ns0:c r="I29" s="2" t="n"/>
      <ns0:c r="J29" s="2" t="n"/>
      <ns0:c r="K29" s="2" t="n"/>
      <ns0:c r="L29" s="2" t="n"/>
      <ns0:c r="M29" s="2" t="n"/>
      <ns0:c r="N29" s="2" t="n"/>
      <ns0:c r="O29" s="2" t="n"/>
    </ns0:row>
    <ns0:row r="31" ht="28" customHeight="1">
      <ns0:c r="A31" s="5" t="inlineStr">
        <ns0:is>
          <ns0:t>NÃO CONFORMIDADES EM RELAÇÃO À REFERÊNCIA</ns0:t>
        </ns0:is>
      </ns0:c>
      <ns0:c r="B31" s="5" t="n"/>
      <ns0:c r="C31" s="5" t="n"/>
      <ns0:c r="D31" s="5" t="n"/>
      <ns0:c r="E31" s="5" t="n"/>
      <ns0:c r="F31" s="5" t="n"/>
      <ns0:c r="G31" s="5" t="n"/>
      <ns0:c r="H31" s="5" t="n"/>
      <ns0:c r="I31" s="5" t="n"/>
      <ns0:c r="J31" s="5" t="n"/>
      <ns0:c r="K31" s="5" t="n"/>
      <ns0:c r="L31" s="5" t="n"/>
      <ns0:c r="M31" s="5" t="n"/>
      <ns0:c r="N31" s="5" t="n"/>
      <ns0:c r="O31" s="5" t="n"/>
    </ns0:row>
    <ns0:row r="32" ht="24" customHeight="1">
      <ns0:c r="A32" s="6" t="inlineStr">
        <ns0:is>
          <ns0:t>PROFESSOR/A — 20 HORAS</ns0:t>
        </ns0:is>
      </ns0:c>
      <ns0:c r="B32" s="6" t="n"/>
      <ns0:c r="C32" s="6" t="n"/>
      <ns0:c r="D32" s="6" t="n"/>
      <ns0:c r="E32" s="6" t="n"/>
      <ns0:c r="F32" s="6" t="n"/>
      <ns0:c r="G32" s="6" t="n"/>
      <ns0:c r="H32" s="6" t="n"/>
      <ns0:c r="I32" s="6" t="n"/>
      <ns0:c r="J32" s="6" t="n"/>
      <ns0:c r="K32" s="6" t="n"/>
      <ns0:c r="L32" s="6" t="n"/>
      <ns0:c r="M32" s="6" t="n"/>
      <ns0:c r="N32" s="6" t="n"/>
      <ns0:c r="O32" s="6" t="n"/>
    </ns0:row>
    <ns0:row r="33" ht="28" customHeight="1">
      <ns0:c r="A33" s="7" t="inlineStr">
        <ns0:is>
          <ns0:t>Classes →</ns0:t>
        </ns0:is>
      </ns0:c>
      <ns0:c r="B33" s="7" t="inlineStr">
        <ns0:is>
          <ns0:t>Nível</ns0:t>
        </ns0:is>
      </ns0:c>
      <ns0:c r="C33" s="7" t="inlineStr">
        <ns0:is>
          <ns0:t>Regra vertical</ns0:t>
        </ns0:is>
      </ns0:c>
      <ns0:c r="D33" s="7" t="inlineStr">
        <ns0:is>
          <ns0:t>1</ns0:t>
        </ns0:is>
      </ns0:c>
      <ns0:c r="E33" s="7" t="inlineStr">
        <ns0:is>
          <ns0:t>2</ns0:t>
        </ns0:is>
      </ns0:c>
      <ns0:c r="F33" s="7" t="inlineStr">
        <ns0:is>
          <ns0:t>3</ns0:t>
        </ns0:is>
      </ns0:c>
      <ns0:c r="G33" s="7" t="inlineStr">
        <ns0:is>
          <ns0:t>4</ns0:t>
        </ns0:is>
      </ns0:c>
      <ns0:c r="H33" s="7" t="inlineStr">
        <ns0:is>
          <ns0:t>5</ns0:t>
        </ns0:is>
      </ns0:c>
      <ns0:c r="I33" s="7" t="inlineStr">
        <ns0:is>
          <ns0:t>6</ns0:t>
        </ns0:is>
      </ns0:c>
      <ns0:c r="J33" s="7" t="inlineStr">
        <ns0:is>
          <ns0:t>7</ns0:t>
        </ns0:is>
      </ns0:c>
      <ns0:c r="K33" s="7" t="inlineStr">
        <ns0:is>
          <ns0:t>8</ns0:t>
        </ns0:is>
      </ns0:c>
      <ns0:c r="L33" s="7" t="inlineStr">
        <ns0:is>
          <ns0:t>9</ns0:t>
        </ns0:is>
      </ns0:c>
      <ns0:c r="M33" s="7" t="inlineStr">
        <ns0:is>
          <ns0:t>10</ns0:t>
        </ns0:is>
      </ns0:c>
      <ns0:c r="N33" s="7" t="inlineStr">
        <ns0:is>
          <ns0:t>11</ns0:t>
        </ns0:is>
      </ns0:c>
      <ns0:c r="O33" s="7" t="inlineStr">
        <ns0:is>
          <ns0:t>12</ns0:t>
        </ns0:is>
      </ns0:c>
    </ns0:row>
    <ns0:row r="34" ht="26" customHeight="1">
      <ns0:c r="A34" s="3" t="inlineStr">
        <ns0:is>
          <ns0:t>Níveis ↓</ns0:t>
        </ns0:is>
      </ns0:c>
      <ns0:c r="B34" s="3" t="inlineStr">
        <ns0:is>
          <ns0:t>A</ns0:t>
        </ns0:is>
      </ns0:c>
      <ns0:c r="C34" s="3" t="inlineStr">
        <ns0:is>
          <ns0:t>Base</ns0:t>
        </ns0:is>
      </ns0:c>
      <ns0:c r="D34" s="4">
        <ns0:f>'Dados originais'!D4</ns0:f>
        <ns0:v>2565.31</ns0:v>
      </ns0:c>
      <ns0:c r="E34" s="4">
        <ns0:f>'Dados originais'!E4</ns0:f>
        <ns0:v>2616.61</ns0:v>
      </ns0:c>
      <ns0:c r="F34" s="4">
        <ns0:f>'Dados originais'!F4</ns0:f>
        <ns0:v>2668.94</ns0:v>
      </ns0:c>
      <ns0:c r="G34" s="4">
        <ns0:f>'Dados originais'!G4</ns0:f>
        <ns0:v>2722.31</ns0:v>
      </ns0:c>
      <ns0:c r="H34" s="4">
        <ns0:f>'Dados originais'!H4</ns0:f>
        <ns0:v>2776.75</ns0:v>
      </ns0:c>
      <ns0:c r="I34" s="4">
        <ns0:f>'Dados originais'!I4</ns0:f>
        <ns0:v>2832.28</ns0:v>
      </ns0:c>
      <ns0:c r="J34" s="4">
        <ns0:f>'Dados originais'!J4</ns0:f>
        <ns0:v>2888.92</ns0:v>
      </ns0:c>
      <ns0:c r="K34" s="4">
        <ns0:f>'Dados originais'!K4</ns0:f>
        <ns0:v>2946.69</ns0:v>
      </ns0:c>
      <ns0:c r="L34" s="4">
        <ns0:f>'Dados originais'!L4</ns0:f>
        <ns0:v>3005.62</ns0:v>
      </ns0:c>
      <ns0:c r="M34" s="4">
        <ns0:f>'Dados originais'!M4</ns0:f>
        <ns0:v>3065.73</ns0:v>
      </ns0:c>
      <ns0:c r="N34" s="4">
        <ns0:f>'Dados originais'!N4</ns0:f>
        <ns0:v>3127.04</ns0:v>
      </ns0:c>
      <ns0:c r="O34" s="4">
        <ns0:f>'Dados originais'!O4</ns0:f>
        <ns0:v>3189.58</ns0:v>
      </ns0:c>
    </ns0:row>
    <ns0:row r="35" ht="26" customHeight="1">
      <ns0:c r="B35" s="10" t="inlineStr">
        <ns0:is>
          <ns0:t>B</ns0:t>
        </ns0:is>
      </ns0:c>
      <ns0:c r="C35" s="11" t="str">
        <ns0:f> "+"&amp;TEXT('Parâmetros'!D20,"0.00")&amp;IF('Parâmetros'!C20="valor_fixo"," R$ / ","% / ")&amp;'Parâmetros'!E20</ns0:f>
        <ns0:v>+12.00% / A</ns0:v>
      </ns0:c>
      <ns0:c r="D35" s="19">
        <ns0:f>'Dados originais'!D5</ns0:f>
        <ns0:v>2873.14</ns0:v>
      </ns0:c>
      <ns0:c r="E35" s="19">
        <ns0:f>'Dados originais'!E5</ns0:f>
        <ns0:v>2930.6</ns0:v>
      </ns0:c>
      <ns0:c r="F35" s="19">
        <ns0:f>'Dados originais'!F5</ns0:f>
        <ns0:v>2989.21</ns0:v>
      </ns0:c>
      <ns0:c r="G35" s="19">
        <ns0:f>'Dados originais'!G5</ns0:f>
        <ns0:v>3048.99</ns0:v>
      </ns0:c>
      <ns0:c r="H35" s="19">
        <ns0:f>'Dados originais'!H5</ns0:f>
        <ns0:v>3109.96</ns0:v>
      </ns0:c>
      <ns0:c r="I35" s="19">
        <ns0:f>'Dados originais'!I5</ns0:f>
        <ns0:v>3172.15</ns0:v>
      </ns0:c>
      <ns0:c r="J35" s="19">
        <ns0:f>'Dados originais'!J5</ns0:f>
        <ns0:v>3235.59</ns0:v>
      </ns0:c>
      <ns0:c r="K35" s="19">
        <ns0:f>'Dados originais'!K5</ns0:f>
        <ns0:v>3300.3</ns0:v>
      </ns0:c>
      <ns0:c r="L35" s="19">
        <ns0:f>'Dados originais'!L5</ns0:f>
        <ns0:v>3366.3</ns0:v>
      </ns0:c>
      <ns0:c r="M35" s="19">
        <ns0:f>'Dados originais'!M5</ns0:f>
        <ns0:v>3433.62</ns0:v>
      </ns0:c>
      <ns0:c r="N35" s="19">
        <ns0:f>'Dados originais'!N5</ns0:f>
        <ns0:v>3502.29</ns0:v>
      </ns0:c>
      <ns0:c r="O35" s="19">
        <ns0:f>'Dados originais'!O5</ns0:f>
        <ns0:v>3572.33</ns0:v>
      </ns0:c>
    </ns0:row>
    <ns0:row r="36" ht="26" customHeight="1">
      <ns0:c r="A36" s="14" t="n"/>
      <ns0:c r="B36" s="15" t="inlineStr">
        <ns0:is>
          <ns0:t>C</ns0:t>
        </ns0:is>
      </ns0:c>
      <ns0:c r="C36" s="16" t="str">
        <ns0:f> "+"&amp;TEXT('Parâmetros'!D21,"0.00")&amp;IF('Parâmetros'!C21="valor_fixo"," R$ / ","% / ")&amp;'Parâmetros'!E21</ns0:f>
        <ns0:v>+27.00% / A</ns0:v>
      </ns0:c>
      <ns0:c r="D36" s="20">
        <ns0:f>'Dados originais'!D6</ns0:f>
        <ns0:v>3257.94</ns0:v>
      </ns0:c>
      <ns0:c r="E36" s="20">
        <ns0:f>'Dados originais'!E6</ns0:f>
        <ns0:v>3323.09</ns0:v>
      </ns0:c>
      <ns0:c r="F36" s="20">
        <ns0:f>'Dados originais'!F6</ns0:f>
        <ns0:v>3389.55</ns0:v>
      </ns0:c>
      <ns0:c r="G36" s="20">
        <ns0:f>'Dados originais'!G6</ns0:f>
        <ns0:v>3457.34</ns0:v>
      </ns0:c>
      <ns0:c r="H36" s="20">
        <ns0:f>'Dados originais'!H6</ns0:f>
        <ns0:v>3526.48</ns0:v>
      </ns0:c>
      <ns0:c r="I36" s="20">
        <ns0:f>'Dados originais'!I6</ns0:f>
        <ns0:v>3597.0</ns0:v>
      </ns0:c>
      <ns0:c r="J36" s="20">
        <ns0:f>'Dados originais'!J6</ns0:f>
        <ns0:v>3668.94</ns0:v>
      </ns0:c>
      <ns0:c r="K36" s="20">
        <ns0:f>'Dados originais'!K6</ns0:f>
        <ns0:v>3742.31</ns0:v>
      </ns0:c>
      <ns0:c r="L36" s="20">
        <ns0:f>'Dados originais'!L6</ns0:f>
        <ns0:v>3817.15</ns0:v>
      </ns0:c>
      <ns0:c r="M36" s="20">
        <ns0:f>'Dados originais'!M6</ns0:f>
        <ns0:v>3893.49</ns0:v>
      </ns0:c>
      <ns0:c r="N36" s="20">
        <ns0:f>'Dados originais'!N6</ns0:f>
        <ns0:v>3971.35</ns0:v>
      </ns0:c>
      <ns0:c r="O36" s="20">
        <ns0:f>'Dados originais'!O6</ns0:f>
        <ns0:v>4050.77</ns0:v>
      </ns0:c>
    </ns0:row>
    <ns0:row r="39" ht="28" customHeight="1">
      <ns0:c r="A39" s="31" t="inlineStr">
        <ns0:is>
          <ns0:t>• DEFASAGEM SALARIAL MENSAL •</ns0:t>
        </ns0:is>
      </ns0:c>
      <ns0:c r="B39" s="31" t="n"/>
      <ns0:c r="C39" s="31" t="n"/>
      <ns0:c r="D39" s="31" t="n"/>
      <ns0:c r="E39" s="31" t="n"/>
      <ns0:c r="F39" s="31" t="n"/>
      <ns0:c r="G39" s="31" t="n"/>
      <ns0:c r="H39" s="31" t="n"/>
      <ns0:c r="I39" s="31" t="n"/>
      <ns0:c r="J39" s="31" t="n"/>
      <ns0:c r="K39" s="31" t="n"/>
      <ns0:c r="L39" s="31" t="n"/>
      <ns0:c r="M39" s="31" t="n"/>
      <ns0:c r="N39" s="31" t="n"/>
      <ns0:c r="O39" s="31" t="n"/>
    </ns0:row>
    <ns0:row r="40" ht="24" customHeight="1">
      <ns0:c r="A40" s="32" t="inlineStr">
        <ns0:is>
          <ns0:t>PROFESSOR/A — 20 HORAS</ns0:t>
        </ns0:is>
      </ns0:c>
      <ns0:c r="B40" s="32" t="n"/>
      <ns0:c r="C40" s="32" t="n"/>
      <ns0:c r="D40" s="32" t="n"/>
      <ns0:c r="E40" s="32" t="n"/>
      <ns0:c r="F40" s="32" t="n"/>
      <ns0:c r="G40" s="32" t="n"/>
      <ns0:c r="H40" s="32" t="n"/>
      <ns0:c r="I40" s="32" t="n"/>
      <ns0:c r="J40" s="32" t="n"/>
      <ns0:c r="K40" s="32" t="n"/>
      <ns0:c r="L40" s="32" t="n"/>
      <ns0:c r="M40" s="32" t="n"/>
      <ns0:c r="N40" s="32" t="n"/>
      <ns0:c r="O40" s="32" t="n"/>
    </ns0:row>
    <ns0:row r="41" ht="28" customHeight="1">
      <ns0:c r="A41" s="33" t="inlineStr">
        <ns0:is>
          <ns0:t>Classes →</ns0:t>
        </ns0:is>
      </ns0:c>
      <ns0:c r="B41" s="33" t="inlineStr">
        <ns0:is>
          <ns0:t>Nível</ns0:t>
        </ns0:is>
      </ns0:c>
      <ns0:c r="C41" s="33" t="inlineStr">
        <ns0:is>
          <ns0:t>Regra vertical</ns0:t>
        </ns0:is>
      </ns0:c>
      <ns0:c r="D41" s="33" t="inlineStr">
        <ns0:is>
          <ns0:t>1</ns0:t>
        </ns0:is>
      </ns0:c>
      <ns0:c r="E41" s="33" t="inlineStr">
        <ns0:is>
          <ns0:t>2</ns0:t>
        </ns0:is>
      </ns0:c>
      <ns0:c r="F41" s="33" t="inlineStr">
        <ns0:is>
          <ns0:t>3</ns0:t>
        </ns0:is>
      </ns0:c>
      <ns0:c r="G41" s="33" t="inlineStr">
        <ns0:is>
          <ns0:t>4</ns0:t>
        </ns0:is>
      </ns0:c>
      <ns0:c r="H41" s="33" t="inlineStr">
        <ns0:is>
          <ns0:t>5</ns0:t>
        </ns0:is>
      </ns0:c>
      <ns0:c r="I41" s="33" t="inlineStr">
        <ns0:is>
          <ns0:t>6</ns0:t>
        </ns0:is>
      </ns0:c>
      <ns0:c r="J41" s="33" t="inlineStr">
        <ns0:is>
          <ns0:t>7</ns0:t>
        </ns0:is>
      </ns0:c>
      <ns0:c r="K41" s="33" t="inlineStr">
        <ns0:is>
          <ns0:t>8</ns0:t>
        </ns0:is>
      </ns0:c>
      <ns0:c r="L41" s="33" t="inlineStr">
        <ns0:is>
          <ns0:t>9</ns0:t>
        </ns0:is>
      </ns0:c>
      <ns0:c r="M41" s="33" t="inlineStr">
        <ns0:is>
          <ns0:t>10</ns0:t>
        </ns0:is>
      </ns0:c>
      <ns0:c r="N41" s="33" t="inlineStr">
        <ns0:is>
          <ns0:t>11</ns0:t>
        </ns0:is>
      </ns0:c>
      <ns0:c r="O41" s="33" t="inlineStr">
        <ns0:is>
          <ns0:t>12</ns0:t>
        </ns0:is>
      </ns0:c>
    </ns0:row>
    <ns0:row r="42" ht="26" customHeight="1">
      <ns0:c r="A42" s="3" t="inlineStr">
        <ns0:is>
          <ns0:t>Níveis ↓</ns0:t>
        </ns0:is>
      </ns0:c>
      <ns0:c r="B42" s="3" t="inlineStr">
        <ns0:is>
          <ns0:t>A</ns0:t>
        </ns0:is>
      </ns0:c>
      <ns0:c r="C42" s="3" t="inlineStr">
        <ns0:is>
          <ns0:t>Base</ns0:t>
        </ns0:is>
      </ns0:c>
      <ns0:c r="D42" s="4">
        <ns0:f>D16-D24</ns0:f>
        <ns0:v>0.0</ns0:v>
      </ns0:c>
      <ns0:c r="E42" s="4">
        <ns0:f>E16-E24</ns0:f>
        <ns0:v>0.0</ns0:v>
      </ns0:c>
      <ns0:c r="F42" s="4">
        <ns0:f>F16-F24</ns0:f>
        <ns0:v>0.0</ns0:v>
      </ns0:c>
      <ns0:c r="G42" s="4">
        <ns0:f>G16-G24</ns0:f>
        <ns0:v>0.0</ns0:v>
      </ns0:c>
      <ns0:c r="H42" s="4">
        <ns0:f>H16-H24</ns0:f>
        <ns0:v>0.0</ns0:v>
      </ns0:c>
      <ns0:c r="I42" s="4">
        <ns0:f>I16-I24</ns0:f>
        <ns0:v>0.0</ns0:v>
      </ns0:c>
      <ns0:c r="J42" s="4">
        <ns0:f>J16-J24</ns0:f>
        <ns0:v>0.0</ns0:v>
      </ns0:c>
      <ns0:c r="K42" s="4">
        <ns0:f>K16-K24</ns0:f>
        <ns0:v>0.0</ns0:v>
      </ns0:c>
      <ns0:c r="L42" s="4">
        <ns0:f>L16-L24</ns0:f>
        <ns0:v>0.0</ns0:v>
      </ns0:c>
      <ns0:c r="M42" s="4">
        <ns0:f>M16-M24</ns0:f>
        <ns0:v>0.0</ns0:v>
      </ns0:c>
      <ns0:c r="N42" s="4">
        <ns0:f>N16-N24</ns0:f>
        <ns0:v>0.0</ns0:v>
      </ns0:c>
      <ns0:c r="O42" s="4">
        <ns0:f>O16-O24</ns0:f>
        <ns0:v>0.0</ns0:v>
      </ns0:c>
    </ns0:row>
    <ns0:row r="43" ht="26" customHeight="1">
      <ns0:c r="B43" s="34" t="inlineStr">
        <ns0:is>
          <ns0:t>B</ns0:t>
        </ns0:is>
      </ns0:c>
      <ns0:c r="C43" s="35" t="str">
        <ns0:f> "+"&amp;TEXT('Parâmetros'!D20,"0.00")&amp;IF('Parâmetros'!C20="valor_fixo"," R$ / ","% / ")&amp;'Parâmetros'!E20</ns0:f>
        <ns0:v>+12.00% / A</ns0:v>
      </ns0:c>
      <ns0:c r="D43" s="36">
        <ns0:f>D17-D25</ns0:f>
        <ns0:v>0.0</ns0:v>
      </ns0:c>
      <ns0:c r="E43" s="36">
        <ns0:f>E17-E25</ns0:f>
        <ns0:v>0.0</ns0:v>
      </ns0:c>
      <ns0:c r="F43" s="36">
        <ns0:f>F17-F25</ns0:f>
        <ns0:v>0.0</ns0:v>
      </ns0:c>
      <ns0:c r="G43" s="36">
        <ns0:f>G17-G25</ns0:f>
        <ns0:v>0.0</ns0:v>
      </ns0:c>
      <ns0:c r="H43" s="36">
        <ns0:f>H17-H25</ns0:f>
        <ns0:v>0.0</ns0:v>
      </ns0:c>
      <ns0:c r="I43" s="36">
        <ns0:f>I17-I25</ns0:f>
        <ns0:v>0.0</ns0:v>
      </ns0:c>
      <ns0:c r="J43" s="36">
        <ns0:f>J17-J25</ns0:f>
        <ns0:v>0.0</ns0:v>
      </ns0:c>
      <ns0:c r="K43" s="36">
        <ns0:f>K17-K25</ns0:f>
        <ns0:v>0.0</ns0:v>
      </ns0:c>
      <ns0:c r="L43" s="36">
        <ns0:f>L17-L25</ns0:f>
        <ns0:v>0.0</ns0:v>
      </ns0:c>
      <ns0:c r="M43" s="36">
        <ns0:f>M17-M25</ns0:f>
        <ns0:v>0.0</ns0:v>
      </ns0:c>
      <ns0:c r="N43" s="36">
        <ns0:f>N17-N25</ns0:f>
        <ns0:v>0.0</ns0:v>
      </ns0:c>
      <ns0:c r="O43" s="36">
        <ns0:f>O17-O25</ns0:f>
        <ns0:v>0.0</ns0:v>
      </ns0:c>
    </ns0:row>
    <ns0:row r="44" ht="26" customHeight="1">
      <ns0:c r="A44" s="37" t="n"/>
      <ns0:c r="B44" s="38" t="inlineStr">
        <ns0:is>
          <ns0:t>C</ns0:t>
        </ns0:is>
      </ns0:c>
      <ns0:c r="C44" s="39" t="str">
        <ns0:f> "+"&amp;TEXT('Parâmetros'!D21,"0.00")&amp;IF('Parâmetros'!C21="valor_fixo"," R$ / ","% / ")&amp;'Parâmetros'!E21</ns0:f>
        <ns0:v>+27.00% / A</ns0:v>
      </ns0:c>
      <ns0:c r="D44" s="40">
        <ns0:f>D18-D26</ns0:f>
        <ns0:v>0.0</ns0:v>
      </ns0:c>
      <ns0:c r="E44" s="40">
        <ns0:f>E18-E26</ns0:f>
        <ns0:v>0.0</ns0:v>
      </ns0:c>
      <ns0:c r="F44" s="40">
        <ns0:f>F18-F26</ns0:f>
        <ns0:v>0.0</ns0:v>
      </ns0:c>
      <ns0:c r="G44" s="40">
        <ns0:f>G18-G26</ns0:f>
        <ns0:v>0.0</ns0:v>
      </ns0:c>
      <ns0:c r="H44" s="40">
        <ns0:f>H18-H26</ns0:f>
        <ns0:v>0.0</ns0:v>
      </ns0:c>
      <ns0:c r="I44" s="40">
        <ns0:f>I18-I26</ns0:f>
        <ns0:v>0.0</ns0:v>
      </ns0:c>
      <ns0:c r="J44" s="40">
        <ns0:f>J18-J26</ns0:f>
        <ns0:v>0.0</ns0:v>
      </ns0:c>
      <ns0:c r="K44" s="40">
        <ns0:f>K18-K26</ns0:f>
        <ns0:v>0.0</ns0:v>
      </ns0:c>
      <ns0:c r="L44" s="40">
        <ns0:f>L18-L26</ns0:f>
        <ns0:v>0.0</ns0:v>
      </ns0:c>
      <ns0:c r="M44" s="40">
        <ns0:f>M18-M26</ns0:f>
        <ns0:v>0.0</ns0:v>
      </ns0:c>
      <ns0:c r="N44" s="40">
        <ns0:f>N18-N26</ns0:f>
        <ns0:v>0.0</ns0:v>
      </ns0:c>
      <ns0:c r="O44" s="40">
        <ns0:f>O18-O26</ns0:f>
        <ns0:v>0.0</ns0:v>
      </ns0:c>
    </ns0:row>
    <ns0:row r="47" ht="30" customHeight="1">
      <ns0:c r="A47" s="2" t="inlineStr">
        <ns0:is>
          <ns0:t>Defasagem = referência ÷ atual − 1. Diferença mensal = atual − referência; negativa indica valor abaixo da referência.</ns0:t>
        </ns0:is>
      </ns0:c>
      <ns0:c r="B47" s="2" t="n"/>
      <ns0:c r="C47" s="2" t="n"/>
      <ns0:c r="D47" s="2" t="n"/>
      <ns0:c r="E47" s="2" t="n"/>
      <ns0:c r="F47" s="2" t="n"/>
      <ns0:c r="G47" s="2" t="n"/>
      <ns0:c r="H47" s="2" t="n"/>
      <ns0:c r="I47" s="2" t="n"/>
      <ns0:c r="J47" s="2" t="n"/>
      <ns0:c r="K47" s="2" t="n"/>
      <ns0:c r="L47" s="2" t="n"/>
      <ns0:c r="M47" s="2" t="n"/>
      <ns0:c r="N47" s="2" t="n"/>
      <ns0:c r="O47" s="2" t="n"/>
    </ns0:row>
    <ns0:row r="49" ht="30" customHeight="1">
      <ns0:c r="A49" s="41" t="inlineStr">
        <ns0:is>
          <ns0:t>DEFASAGEM SALARIAL EM RELAÇÃO À REFERÊNCIA</ns0:t>
        </ns0:is>
      </ns0:c>
      <ns0:c r="B49" s="41" t="n"/>
      <ns0:c r="C49" s="41" t="n"/>
      <ns0:c r="D49" s="41" t="n"/>
      <ns0:c r="E49" s="41" t="n"/>
      <ns0:c r="F49" s="41" t="n"/>
      <ns0:c r="G49" s="41" t="n"/>
      <ns0:c r="H49" s="41" t="n"/>
      <ns0:c r="I49" s="41" t="n"/>
      <ns0:c r="J49" s="41" t="n"/>
      <ns0:c r="K49" s="41" t="n"/>
      <ns0:c r="L49" s="42">
        <ns0:f>D24/D16-1</ns0:f>
        <ns0:v>0.0</ns0:v>
      </ns0:c>
      <ns0:c r="M49" s="41" t="n"/>
      <ns0:c r="N49" s="41" t="n"/>
      <ns0:c r="O49" s="41" t="n"/>
    </ns0:row>
    <ns0:row r="50" ht="24" customHeight="1">
      <ns0:c r="A50" s="41" t="n"/>
      <ns0:c r="B50" s="41" t="n"/>
      <ns0:c r="C50" s="41" t="n"/>
      <ns0:c r="D50" s="41" t="n"/>
      <ns0:c r="E50" s="41" t="n"/>
      <ns0:c r="F50" s="41" t="n"/>
      <ns0:c r="G50" s="41" t="n"/>
      <ns0:c r="H50" s="41" t="n"/>
      <ns0:c r="I50" s="41" t="n"/>
      <ns0:c r="J50" s="41" t="n"/>
      <ns0:c r="K50" s="41" t="n"/>
      <ns0:c r="L50" s="41" t="n"/>
      <ns0:c r="M50" s="41" t="n"/>
      <ns0:c r="N50" s="41" t="n"/>
      <ns0:c r="O50" s="41" t="n"/>
    </ns0:row>
    <ns0:row r="54" ht="32" customHeight="1">
      <ns0:c r="A54" s="2" t="inlineStr">
        <ns0:is>
          <ns0:t>Níveis: A — Magistério; B — Licenciatura Plena; C — Especialização</ns0:t>
        </ns0:is>
      </ns0:c>
      <ns0:c r="B54" s="2" t="n"/>
      <ns0:c r="C54" s="2" t="n"/>
      <ns0:c r="D54" s="2" t="n"/>
      <ns0:c r="E54" s="2" t="n"/>
      <ns0:c r="F54" s="2" t="n"/>
      <ns0:c r="G54" s="2" t="n"/>
      <ns0:c r="H54" s="2" t="n"/>
      <ns0:c r="I54" s="2" t="n"/>
      <ns0:c r="J54" s="2" t="n"/>
      <ns0:c r="K54" s="2" t="n"/>
      <ns0:c r="L54" s="2" t="n"/>
      <ns0:c r="M54" s="2" t="n"/>
      <ns0:c r="N54" s="2" t="n"/>
      <ns0:c r="O54" s="2" t="n"/>
    </ns0:row>
  </ns0:sheetData>
  <ns0:mergeCells count="24">
    <ns0:mergeCell ref="A8:A10"/>
    <ns0:mergeCell ref="A54:O54"/>
    <ns0:mergeCell ref="A3:O3"/>
    <ns0:mergeCell ref="A21:O21"/>
    <ns0:mergeCell ref="A2:O2"/>
    <ns0:mergeCell ref="A34:A36"/>
    <ns0:mergeCell ref="A14:O14"/>
    <ns0:mergeCell ref="A47:O47"/>
    <ns0:mergeCell ref="A5:O5"/>
    <ns0:mergeCell ref="A32:O32"/>
    <ns0:mergeCell ref="A24:A26"/>
    <ns0:mergeCell ref="A22:O22"/>
    <ns0:mergeCell ref="A4:C4"/>
    <ns0:mergeCell ref="A29:O29"/>
    <ns0:mergeCell ref="A13:O13"/>
    <ns0:mergeCell ref="A49:K50"/>
    <ns0:mergeCell ref="A31:O31"/>
    <ns0:mergeCell ref="A40:O40"/>
    <ns0:mergeCell ref="A39:O39"/>
    <ns0:mergeCell ref="L49:O50"/>
    <ns0:mergeCell ref="A16:A18"/>
    <ns0:mergeCell ref="A1:O1"/>
    <ns0:mergeCell ref="A6:O6"/>
    <ns0:mergeCell ref="A42:A44"/>
  </ns0:mergeCells>
  <ns0:conditionalFormatting sqref="D16:O16">
    <ns0:cfRule type="expression" priority="1" dxfId="0">
      <ns0:formula>D16&lt;$D$4</ns0:formula>
    </ns0:cfRule>
  </ns0:conditionalFormatting>
  <ns0:conditionalFormatting sqref="D17:O17">
    <ns0:cfRule type="expression" priority="2" dxfId="0">
      <ns0:formula>D17&lt;$D$4</ns0:formula>
    </ns0:cfRule>
  </ns0:conditionalFormatting>
  <ns0:conditionalFormatting sqref="D18:O18">
    <ns0:cfRule type="expression" priority="3" dxfId="0">
      <ns0:formula>D18&lt;$D$4</ns0:formula>
    </ns0:cfRule>
  </ns0:conditionalFormatting>
  <ns0:conditionalFormatting sqref="D34:O34">
    <ns0:cfRule type="expression" priority="4" dxfId="0">
      <ns0:formula>D34&lt;$D$4</ns0:formula>
    </ns0:cfRule>
  </ns0:conditionalFormatting>
  <ns0:conditionalFormatting sqref="D35:O35">
    <ns0:cfRule type="expression" priority="5" dxfId="0">
      <ns0:formula>D35&lt;$D$4</ns0:formula>
    </ns0:cfRule>
  </ns0:conditionalFormatting>
  <ns0:conditionalFormatting sqref="D36:O36">
    <ns0:cfRule type="expression" priority="6" dxfId="0">
      <ns0:formula>D36&lt;$D$4</ns0:formula>
    </ns0:cfRule>
  </ns0:conditionalFormatting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F39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3" customWidth="1" min="1" max="1"/>
    <ns0:col width="29" customWidth="1" min="2" max="2"/>
    <ns0:col width="25" customWidth="1" min="3" max="3"/>
    <ns0:col width="23" customWidth="1" min="4" max="4"/>
    <ns0:col width="19" customWidth="1" min="5" max="5"/>
    <ns0:col width="24" customWidth="1" min="6" max="6"/>
  </ns0:cols>
  <ns0:sheetData>
    <ns0:row r="1" ht="26" customHeight="1">
      <ns0:c r="A1" s="21" t="inlineStr">
        <ns0:is>
          <ns0:t>PARÂMETROS DA COMPARAÇÃO</ns0:t>
        </ns0:is>
      </ns0:c>
      <ns0:c r="B1" s="21" t="n"/>
      <ns0:c r="C1" s="21" t="n"/>
      <ns0:c r="D1" s="21" t="n"/>
      <ns0:c r="E1" s="21" t="n"/>
      <ns0:c r="F1" s="21" t="n"/>
    </ns0:row>
    <ns0:row r="3">
      <ns0:c r="A3" s="3" t="inlineStr">
        <ns0:is>
          <ns0:t>Município</ns0:t>
        </ns0:is>
      </ns0:c>
      <ns0:c r="B3" s="43" t="inlineStr">
        <ns0:is>
          <ns0:t>Cafezal do Sul</ns0:t>
        </ns0:is>
      </ns0:c>
    </ns0:row>
    <ns0:row r="4" ht="32" customHeight="1">
      <ns0:c r="A4" s="3" t="inlineStr">
        <ns0:is>
          <ns0:t>Profissão/cargo</ns0:t>
        </ns0:is>
      </ns0:c>
      <ns0:c r="B4" s="43" t="inlineStr">
        <ns0:is>
          <ns0:t>Professor/a</ns0:t>
        </ns0:is>
      </ns0:c>
    </ns0:row>
    <ns0:row r="5">
      <ns0:c r="A5" s="3" t="inlineStr">
        <ns0:is>
          <ns0:t>Ano</ns0:t>
        </ns0:is>
      </ns0:c>
      <ns0:c r="B5" s="44" t="n">
        <ns0:v>2026</ns0:v>
      </ns0:c>
    </ns0:row>
    <ns0:row r="6">
      <ns0:c r="A6" s="3" t="inlineStr">
        <ns0:is>
          <ns0:t>Jornada do cargo (h/semana)</ns0:t>
        </ns0:is>
      </ns0:c>
      <ns0:c r="B6" s="44" t="n">
        <ns0:v>20</ns0:v>
      </ns0:c>
    </ns0:row>
    <ns0:row r="7" ht="32" customHeight="1">
      <ns0:c r="A7" s="3" t="inlineStr">
        <ns0:is>
          <ns0:t>Tipo da referência</ns0:t>
        </ns0:is>
      </ns0:c>
      <ns0:c r="B7" s="43" t="inlineStr">
        <ns0:is>
          <ns0:t>pspn</ns0:t>
        </ns0:is>
      </ns0:c>
    </ns0:row>
    <ns0:row r="8" ht="32" customHeight="1">
      <ns0:c r="A8" s="3" t="inlineStr">
        <ns0:is>
          <ns0:t>Nome da referência</ns0:t>
        </ns0:is>
      </ns0:c>
      <ns0:c r="B8" s="43" t="inlineStr">
        <ns0:is>
          <ns0:t>PSPN 2026</ns0:t>
        </ns0:is>
      </ns0:c>
    </ns0:row>
    <ns0:row r="9">
      <ns0:c r="A9" s="3" t="inlineStr">
        <ns0:is>
          <ns0:t>Valor da referência</ns0:t>
        </ns0:is>
      </ns0:c>
      <ns0:c r="B9" s="44" t="n">
        <ns0:v>5130.63</ns0:v>
      </ns0:c>
    </ns0:row>
    <ns0:row r="10">
      <ns0:c r="A10" s="3" t="inlineStr">
        <ns0:is>
          <ns0:t>Jornada da referência</ns0:t>
        </ns0:is>
      </ns0:c>
      <ns0:c r="B10" s="44" t="n">
        <ns0:v>40</ns0:v>
      </ns0:c>
    </ns0:row>
    <ns0:row r="11" ht="32" customHeight="1">
      <ns0:c r="A11" s="3" t="inlineStr">
        <ns0:is>
          <ns0:t>Proporcionalidade autorizada</ns0:t>
        </ns0:is>
      </ns0:c>
      <ns0:c r="B11" s="43" t="inlineStr">
        <ns0:is>
          <ns0:t>sim</ns0:t>
        </ns0:is>
      </ns0:c>
    </ns0:row>
    <ns0:row r="12" ht="32" customHeight="1">
      <ns0:c r="A12" s="3" t="inlineStr">
        <ns0:is>
          <ns0:t>Tratamento dos centavos</ns0:t>
        </ns0:is>
      </ns0:c>
      <ns0:c r="B12" s="43" t="inlineStr">
        <ns0:is>
          <ns0:t>truncar</ns0:t>
        </ns0:is>
      </ns0:c>
    </ns0:row>
    <ns0:row r="13">
      <ns0:c r="A13" s="3" t="inlineStr">
        <ns0:is>
          <ns0:t>Referência proporcional</ns0:t>
        </ns0:is>
      </ns0:c>
      <ns0:c r="B13" s="45">
        <ns0:f>IF(B12="truncar",ROUNDDOWN(IF(B11="sim",B9*B6/B10,B9),2),ROUND(IF(B11="sim",B9*B6/B10,B9),2))</ns0:f>
        <ns0:v>2565.31</ns0:v>
      </ns0:c>
    </ns0:row>
    <ns0:row r="14">
      <ns0:c r="A14" s="3" t="inlineStr">
        <ns0:is>
          <ns0:t>Ano da referência</ns0:t>
        </ns0:is>
      </ns0:c>
      <ns0:c r="B14" s="44" t="n">
        <ns0:v>2026</ns0:v>
      </ns0:c>
    </ns0:row>
    <ns0:row r="15">
      <ns0:c r="A15" s="3" t="inlineStr">
        <ns0:is>
          <ns0:t>Tolerância estrutural (R$)</ns0:t>
        </ns0:is>
      </ns0:c>
      <ns0:c r="B15" s="44" t="n">
        <ns0:v>0.01</ns0:v>
      </ns0:c>
    </ns0:row>
    <ns0:row r="16">
      <ns0:c r="A16" s="3" t="inlineStr">
        <ns0:is>
          <ns0:t>Coerência de ano/jornada</ns0:t>
        </ns0:is>
      </ns0:c>
      <ns0:c r="B16" s="46" t="str">
        <ns0:f>IF(AND(B5=B14,OR(B11="sim",B6=B10)),"OK","REVISAR ANO/JORNADA")</ns0:f>
        <ns0:v>OK</ns0:v>
      </ns0:c>
    </ns0:row>
    <ns0:row r="18">
      <ns0:c r="A18" s="3" t="inlineStr">
        <ns0:is>
          <ns0:t>Nível</ns0:t>
        </ns0:is>
      </ns0:c>
      <ns0:c r="B18" s="3" t="inlineStr">
        <ns0:is>
          <ns0:t>Descrição</ns0:t>
        </ns0:is>
      </ns0:c>
      <ns0:c r="C18" s="3" t="inlineStr">
        <ns0:is>
          <ns0:t>Regra vertical</ns0:t>
        </ns0:is>
      </ns0:c>
      <ns0:c r="D18" s="3" t="inlineStr">
        <ns0:is>
          <ns0:t>Valor (% ou R$)</ns0:t>
        </ns0:is>
      </ns0:c>
      <ns0:c r="E18" s="3" t="inlineStr">
        <ns0:is>
          <ns0:t>Sobre o nível</ns0:t>
        </ns0:is>
      </ns0:c>
    </ns0:row>
    <ns0:row r="19">
      <ns0:c r="A19" s="3" t="inlineStr">
        <ns0:is>
          <ns0:t>A</ns0:t>
        </ns0:is>
      </ns0:c>
      <ns0:c r="B19" s="3" t="inlineStr">
        <ns0:is>
          <ns0:t>Magistério</ns0:t>
        </ns0:is>
      </ns0:c>
      <ns0:c r="C19" s="3" t="inlineStr">
        <ns0:is>
          <ns0:t>base</ns0:t>
        </ns0:is>
      </ns0:c>
      <ns0:c r="D19" s="46" t="n">
        <ns0:v>0</ns0:v>
      </ns0:c>
      <ns0:c r="E19" s="3" t="inlineStr"/>
    </ns0:row>
    <ns0:row r="20">
      <ns0:c r="A20" s="3" t="inlineStr">
        <ns0:is>
          <ns0:t>B</ns0:t>
        </ns0:is>
      </ns0:c>
      <ns0:c r="B20" s="3" t="inlineStr">
        <ns0:is>
          <ns0:t>Licenciatura Plena</ns0:t>
        </ns0:is>
      </ns0:c>
      <ns0:c r="C20" s="3" t="inlineStr">
        <ns0:is>
          <ns0:t>percentual</ns0:t>
        </ns0:is>
      </ns0:c>
      <ns0:c r="D20" s="46" t="n">
        <ns0:v>12</ns0:v>
      </ns0:c>
      <ns0:c r="E20" s="3" t="inlineStr">
        <ns0:is>
          <ns0:t>A</ns0:t>
        </ns0:is>
      </ns0:c>
    </ns0:row>
    <ns0:row r="21">
      <ns0:c r="A21" s="3" t="inlineStr">
        <ns0:is>
          <ns0:t>C</ns0:t>
        </ns0:is>
      </ns0:c>
      <ns0:c r="B21" s="3" t="inlineStr">
        <ns0:is>
          <ns0:t>Especialização</ns0:t>
        </ns0:is>
      </ns0:c>
      <ns0:c r="C21" s="3" t="inlineStr">
        <ns0:is>
          <ns0:t>percentual</ns0:t>
        </ns0:is>
      </ns0:c>
      <ns0:c r="D21" s="46" t="n">
        <ns0:v>27</ns0:v>
      </ns0:c>
      <ns0:c r="E21" s="3" t="inlineStr">
        <ns0:is>
          <ns0:t>A</ns0:t>
        </ns0:is>
      </ns0:c>
    </ns0:row>
    <ns0:row r="25">
      <ns0:c r="A25" s="3" t="inlineStr">
        <ns0:is>
          <ns0:t>Classe de origem</ns0:t>
        </ns0:is>
      </ns0:c>
      <ns0:c r="B25" s="3" t="inlineStr">
        <ns0:is>
          <ns0:t>Classe de destino</ns0:t>
        </ns0:is>
      </ns0:c>
      <ns0:c r="C25" s="3" t="inlineStr">
        <ns0:is>
          <ns0:t>Progressão (%)</ns0:t>
        </ns0:is>
      </ns0:c>
    </ns0:row>
    <ns0:row r="26">
      <ns0:c r="A26" s="3" t="inlineStr">
        <ns0:is>
          <ns0:t>1</ns0:t>
        </ns0:is>
      </ns0:c>
      <ns0:c r="B26" s="3" t="inlineStr">
        <ns0:is>
          <ns0:t>2</ns0:t>
        </ns0:is>
      </ns0:c>
      <ns0:c r="C26" s="46" t="n">
        <ns0:v>2</ns0:v>
      </ns0:c>
    </ns0:row>
    <ns0:row r="27">
      <ns0:c r="A27" s="3" t="inlineStr">
        <ns0:is>
          <ns0:t>2</ns0:t>
        </ns0:is>
      </ns0:c>
      <ns0:c r="B27" s="3" t="inlineStr">
        <ns0:is>
          <ns0:t>3</ns0:t>
        </ns0:is>
      </ns0:c>
      <ns0:c r="C27" s="46" t="n">
        <ns0:v>2</ns0:v>
      </ns0:c>
    </ns0:row>
    <ns0:row r="28">
      <ns0:c r="A28" s="3" t="inlineStr">
        <ns0:is>
          <ns0:t>3</ns0:t>
        </ns0:is>
      </ns0:c>
      <ns0:c r="B28" s="3" t="inlineStr">
        <ns0:is>
          <ns0:t>4</ns0:t>
        </ns0:is>
      </ns0:c>
      <ns0:c r="C28" s="46" t="n">
        <ns0:v>2</ns0:v>
      </ns0:c>
    </ns0:row>
    <ns0:row r="29">
      <ns0:c r="A29" s="3" t="inlineStr">
        <ns0:is>
          <ns0:t>4</ns0:t>
        </ns0:is>
      </ns0:c>
      <ns0:c r="B29" s="3" t="inlineStr">
        <ns0:is>
          <ns0:t>5</ns0:t>
        </ns0:is>
      </ns0:c>
      <ns0:c r="C29" s="46" t="n">
        <ns0:v>2</ns0:v>
      </ns0:c>
    </ns0:row>
    <ns0:row r="30">
      <ns0:c r="A30" s="3" t="inlineStr">
        <ns0:is>
          <ns0:t>5</ns0:t>
        </ns0:is>
      </ns0:c>
      <ns0:c r="B30" s="3" t="inlineStr">
        <ns0:is>
          <ns0:t>6</ns0:t>
        </ns0:is>
      </ns0:c>
      <ns0:c r="C30" s="46" t="n">
        <ns0:v>2</ns0:v>
      </ns0:c>
    </ns0:row>
    <ns0:row r="31">
      <ns0:c r="A31" s="3" t="inlineStr">
        <ns0:is>
          <ns0:t>6</ns0:t>
        </ns0:is>
      </ns0:c>
      <ns0:c r="B31" s="3" t="inlineStr">
        <ns0:is>
          <ns0:t>7</ns0:t>
        </ns0:is>
      </ns0:c>
      <ns0:c r="C31" s="46" t="n">
        <ns0:v>2</ns0:v>
      </ns0:c>
    </ns0:row>
    <ns0:row r="32">
      <ns0:c r="A32" s="3" t="inlineStr">
        <ns0:is>
          <ns0:t>7</ns0:t>
        </ns0:is>
      </ns0:c>
      <ns0:c r="B32" s="3" t="inlineStr">
        <ns0:is>
          <ns0:t>8</ns0:t>
        </ns0:is>
      </ns0:c>
      <ns0:c r="C32" s="46" t="n">
        <ns0:v>2</ns0:v>
      </ns0:c>
    </ns0:row>
    <ns0:row r="33">
      <ns0:c r="A33" s="3" t="inlineStr">
        <ns0:is>
          <ns0:t>8</ns0:t>
        </ns0:is>
      </ns0:c>
      <ns0:c r="B33" s="3" t="inlineStr">
        <ns0:is>
          <ns0:t>9</ns0:t>
        </ns0:is>
      </ns0:c>
      <ns0:c r="C33" s="46" t="n">
        <ns0:v>2</ns0:v>
      </ns0:c>
    </ns0:row>
    <ns0:row r="34">
      <ns0:c r="A34" s="3" t="inlineStr">
        <ns0:is>
          <ns0:t>9</ns0:t>
        </ns0:is>
      </ns0:c>
      <ns0:c r="B34" s="3" t="inlineStr">
        <ns0:is>
          <ns0:t>10</ns0:t>
        </ns0:is>
      </ns0:c>
      <ns0:c r="C34" s="46" t="n">
        <ns0:v>2</ns0:v>
      </ns0:c>
    </ns0:row>
    <ns0:row r="35">
      <ns0:c r="A35" s="3" t="inlineStr">
        <ns0:is>
          <ns0:t>10</ns0:t>
        </ns0:is>
      </ns0:c>
      <ns0:c r="B35" s="3" t="inlineStr">
        <ns0:is>
          <ns0:t>11</ns0:t>
        </ns0:is>
      </ns0:c>
      <ns0:c r="C35" s="46" t="n">
        <ns0:v>2</ns0:v>
      </ns0:c>
    </ns0:row>
    <ns0:row r="36">
      <ns0:c r="A36" s="3" t="inlineStr">
        <ns0:is>
          <ns0:t>11</ns0:t>
        </ns0:is>
      </ns0:c>
      <ns0:c r="B36" s="3" t="inlineStr">
        <ns0:is>
          <ns0:t>12</ns0:t>
        </ns0:is>
      </ns0:c>
      <ns0:c r="C36" s="46" t="n">
        <ns0:v>2</ns0:v>
      </ns0:c>
    </ns0:row>
    <ns0:row r="39" ht="45" customHeight="1">
      <ns0:c r="A39" s="2" t="inlineStr">
        <ns0:is>
          <ns0:t>Cenário/consultoria é uma referência analítica. PSPN é exclusivo do magistério. Alterar profissão, ano ou jornada exige revisar a referência e sua fonte.</ns0:t>
        </ns0:is>
      </ns0:c>
      <ns0:c r="B39" s="2" t="n"/>
      <ns0:c r="C39" s="2" t="n"/>
      <ns0:c r="D39" s="2" t="n"/>
      <ns0:c r="E39" s="2" t="n"/>
      <ns0:c r="F39" s="2" t="n"/>
    </ns0:row>
  </ns0:sheetData>
  <ns0:mergeCells count="2">
    <ns0:mergeCell ref="A39:F39"/>
    <ns0:mergeCell ref="A1:F1"/>
  </ns0:mergeCells>
  <ns0:dataValidations count="1">
    <ns0:dataValidation sqref="B12" showDropDown="0" showInputMessage="0" showErrorMessage="0" allowBlank="0" type="list">
      <ns0:formula1>"arredondar,truncar"</ns0:formula1>
    </ns0:dataValidation>
  </ns0:dataValidations>
  <ns0:printOptions horizontalCentered="1"/>
  <ns0:pageMargins left="0.75" right="0.75" top="1" bottom="1" header="0.5" footer="0.5"/>
  <ns0:pageSetup orientation="landscape" paperSize="9" fitToHeight="0" fitToWidth="1"/>
  <ns0:legacyDrawing ns1:id="anysvml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O6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35" customWidth="1" min="2" max="2"/>
    <ns0:col width="28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</ns0:cols>
  <ns0:sheetData>
    <ns0:row r="1" ht="26" customHeight="1">
      <ns0:c r="A1" s="5" t="inlineStr">
        <ns0:is>
          <ns0:t>TABELA MUNICIPAL TRANSCRITA — VALORES DE ENTRADA</ns0:t>
        </ns0:is>
      </ns0:c>
      <ns0:c r="B1" s="5" t="n"/>
      <ns0:c r="C1" s="5" t="n"/>
      <ns0:c r="D1" s="5" t="n"/>
      <ns0:c r="E1" s="5" t="n"/>
      <ns0:c r="F1" s="5" t="n"/>
      <ns0:c r="G1" s="5" t="n"/>
      <ns0:c r="H1" s="5" t="n"/>
      <ns0:c r="I1" s="5" t="n"/>
      <ns0:c r="J1" s="5" t="n"/>
      <ns0:c r="K1" s="5" t="n"/>
      <ns0:c r="L1" s="5" t="n"/>
      <ns0:c r="M1" s="5" t="n"/>
      <ns0:c r="N1" s="5" t="n"/>
      <ns0:c r="O1" s="5" t="n"/>
    </ns0:row>
    <ns0:row r="3">
      <ns0:c r="A3" s="3" t="inlineStr">
        <ns0:is>
          <ns0:t>Nível</ns0:t>
        </ns0:is>
      </ns0:c>
      <ns0:c r="B3" s="3" t="inlineStr">
        <ns0:is>
          <ns0:t>Descrição</ns0:t>
        </ns0:is>
      </ns0:c>
      <ns0:c r="C3" s="3" t="inlineStr">
        <ns0:is>
          <ns0:t>Regra vertical</ns0:t>
        </ns0:is>
      </ns0:c>
      <ns0:c r="D3" s="3" t="inlineStr">
        <ns0:is>
          <ns0:t>1</ns0:t>
        </ns0:is>
      </ns0:c>
      <ns0:c r="E3" s="3" t="inlineStr">
        <ns0:is>
          <ns0:t>2</ns0:t>
        </ns0:is>
      </ns0:c>
      <ns0:c r="F3" s="3" t="inlineStr">
        <ns0:is>
          <ns0:t>3</ns0:t>
        </ns0:is>
      </ns0:c>
      <ns0:c r="G3" s="3" t="inlineStr">
        <ns0:is>
          <ns0:t>4</ns0:t>
        </ns0:is>
      </ns0:c>
      <ns0:c r="H3" s="3" t="inlineStr">
        <ns0:is>
          <ns0:t>5</ns0:t>
        </ns0:is>
      </ns0:c>
      <ns0:c r="I3" s="3" t="inlineStr">
        <ns0:is>
          <ns0:t>6</ns0:t>
        </ns0:is>
      </ns0:c>
      <ns0:c r="J3" s="3" t="inlineStr">
        <ns0:is>
          <ns0:t>7</ns0:t>
        </ns0:is>
      </ns0:c>
      <ns0:c r="K3" s="3" t="inlineStr">
        <ns0:is>
          <ns0:t>8</ns0:t>
        </ns0:is>
      </ns0:c>
      <ns0:c r="L3" s="3" t="inlineStr">
        <ns0:is>
          <ns0:t>9</ns0:t>
        </ns0:is>
      </ns0:c>
      <ns0:c r="M3" s="3" t="inlineStr">
        <ns0:is>
          <ns0:t>10</ns0:t>
        </ns0:is>
      </ns0:c>
      <ns0:c r="N3" s="3" t="inlineStr">
        <ns0:is>
          <ns0:t>11</ns0:t>
        </ns0:is>
      </ns0:c>
      <ns0:c r="O3" s="3" t="inlineStr">
        <ns0:is>
          <ns0:t>12</ns0:t>
        </ns0:is>
      </ns0:c>
    </ns0:row>
    <ns0:row r="4">
      <ns0:c r="A4" s="3" t="inlineStr">
        <ns0:is>
          <ns0:t>A</ns0:t>
        </ns0:is>
      </ns0:c>
      <ns0:c r="B4" s="3" t="inlineStr">
        <ns0:is>
          <ns0:t>Magistério</ns0:t>
        </ns0:is>
      </ns0:c>
      <ns0:c r="C4" s="3" t="inlineStr">
        <ns0:is>
          <ns0:t>base</ns0:t>
        </ns0:is>
      </ns0:c>
      <ns0:c r="D4" s="47" t="n">
        <ns0:v>2565.31</ns0:v>
      </ns0:c>
      <ns0:c r="E4" s="47" t="n">
        <ns0:v>2616.61</ns0:v>
      </ns0:c>
      <ns0:c r="F4" s="47" t="n">
        <ns0:v>2668.94</ns0:v>
      </ns0:c>
      <ns0:c r="G4" s="47" t="n">
        <ns0:v>2722.31</ns0:v>
      </ns0:c>
      <ns0:c r="H4" s="47" t="n">
        <ns0:v>2776.75</ns0:v>
      </ns0:c>
      <ns0:c r="I4" s="47" t="n">
        <ns0:v>2832.28</ns0:v>
      </ns0:c>
      <ns0:c r="J4" s="47" t="n">
        <ns0:v>2888.92</ns0:v>
      </ns0:c>
      <ns0:c r="K4" s="47" t="n">
        <ns0:v>2946.69</ns0:v>
      </ns0:c>
      <ns0:c r="L4" s="47" t="n">
        <ns0:v>3005.62</ns0:v>
      </ns0:c>
      <ns0:c r="M4" s="47" t="n">
        <ns0:v>3065.73</ns0:v>
      </ns0:c>
      <ns0:c r="N4" s="47" t="n">
        <ns0:v>3127.04</ns0:v>
      </ns0:c>
      <ns0:c r="O4" s="47" t="n">
        <ns0:v>3189.58</ns0:v>
      </ns0:c>
    </ns0:row>
    <ns0:row r="5">
      <ns0:c r="A5" s="3" t="inlineStr">
        <ns0:is>
          <ns0:t>B</ns0:t>
        </ns0:is>
      </ns0:c>
      <ns0:c r="B5" s="3" t="inlineStr">
        <ns0:is>
          <ns0:t>Licenciatura Plena</ns0:t>
        </ns0:is>
      </ns0:c>
      <ns0:c r="C5" s="3" t="inlineStr">
        <ns0:is>
          <ns0:t>percentual</ns0:t>
        </ns0:is>
      </ns0:c>
      <ns0:c r="D5" s="47" t="n">
        <ns0:v>2873.14</ns0:v>
      </ns0:c>
      <ns0:c r="E5" s="47" t="n">
        <ns0:v>2930.6</ns0:v>
      </ns0:c>
      <ns0:c r="F5" s="47" t="n">
        <ns0:v>2989.21</ns0:v>
      </ns0:c>
      <ns0:c r="G5" s="47" t="n">
        <ns0:v>3048.99</ns0:v>
      </ns0:c>
      <ns0:c r="H5" s="47" t="n">
        <ns0:v>3109.96</ns0:v>
      </ns0:c>
      <ns0:c r="I5" s="47" t="n">
        <ns0:v>3172.15</ns0:v>
      </ns0:c>
      <ns0:c r="J5" s="47" t="n">
        <ns0:v>3235.59</ns0:v>
      </ns0:c>
      <ns0:c r="K5" s="47" t="n">
        <ns0:v>3300.3</ns0:v>
      </ns0:c>
      <ns0:c r="L5" s="47" t="n">
        <ns0:v>3366.3</ns0:v>
      </ns0:c>
      <ns0:c r="M5" s="47" t="n">
        <ns0:v>3433.62</ns0:v>
      </ns0:c>
      <ns0:c r="N5" s="47" t="n">
        <ns0:v>3502.29</ns0:v>
      </ns0:c>
      <ns0:c r="O5" s="47" t="n">
        <ns0:v>3572.33</ns0:v>
      </ns0:c>
    </ns0:row>
    <ns0:row r="6">
      <ns0:c r="A6" s="3" t="inlineStr">
        <ns0:is>
          <ns0:t>C</ns0:t>
        </ns0:is>
      </ns0:c>
      <ns0:c r="B6" s="3" t="inlineStr">
        <ns0:is>
          <ns0:t>Especialização</ns0:t>
        </ns0:is>
      </ns0:c>
      <ns0:c r="C6" s="3" t="inlineStr">
        <ns0:is>
          <ns0:t>percentual</ns0:t>
        </ns0:is>
      </ns0:c>
      <ns0:c r="D6" s="47" t="n">
        <ns0:v>3257.94</ns0:v>
      </ns0:c>
      <ns0:c r="E6" s="47" t="n">
        <ns0:v>3323.09</ns0:v>
      </ns0:c>
      <ns0:c r="F6" s="47" t="n">
        <ns0:v>3389.55</ns0:v>
      </ns0:c>
      <ns0:c r="G6" s="47" t="n">
        <ns0:v>3457.34</ns0:v>
      </ns0:c>
      <ns0:c r="H6" s="47" t="n">
        <ns0:v>3526.48</ns0:v>
      </ns0:c>
      <ns0:c r="I6" s="47" t="n">
        <ns0:v>3597</ns0:v>
      </ns0:c>
      <ns0:c r="J6" s="47" t="n">
        <ns0:v>3668.94</ns0:v>
      </ns0:c>
      <ns0:c r="K6" s="47" t="n">
        <ns0:v>3742.31</ns0:v>
      </ns0:c>
      <ns0:c r="L6" s="47" t="n">
        <ns0:v>3817.15</ns0:v>
      </ns0:c>
      <ns0:c r="M6" s="47" t="n">
        <ns0:v>3893.49</ns0:v>
      </ns0:c>
      <ns0:c r="N6" s="47" t="n">
        <ns0:v>3971.35</ns0:v>
      </ns0:c>
      <ns0:c r="O6" s="47" t="n">
        <ns0:v>4050.77</ns0:v>
      </ns0:c>
    </ns0:row>
  </ns0:sheetData>
  <ns0:mergeCells count="1">
    <ns0:mergeCell ref="A1:O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17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2" customWidth="1" min="1" max="1"/>
    <ns0:col width="90" customWidth="1" min="2" max="2"/>
    <ns0:col width="25" customWidth="1" min="3" max="3"/>
  </ns0:cols>
  <ns0:sheetData>
    <ns0:row r="1" ht="26" customHeight="1">
      <ns0:c r="A1" s="21" t="inlineStr">
        <ns0:is>
          <ns0:t>FONTES E DECISÕES ADOTADAS</ns0:t>
        </ns0:is>
      </ns0:c>
      <ns0:c r="B1" s="21" t="n"/>
      <ns0:c r="C1" s="21" t="n"/>
    </ns0:row>
    <ns0:row r="3" ht="48" customHeight="1">
      <ns0:c r="A3" s="2" t="inlineStr">
        <ns0:is>
          <ns0:t>Organização</ns0:t>
        </ns0:is>
      </ns0:c>
      <ns0:c r="B3" s="2" t="inlineStr">
        <ns0:is>
          <ns0:t>Jornada (2).pdf, páginas impressas 9–11: estrutura, atual verde, referência roxa, não conformidades, diferenças e defasagem em vermelho.</ns0:t>
        </ns0:is>
      </ns0:c>
      <ns0:c r="C3" s="48" t="n"/>
    </ns0:row>
    <ns0:row r="4" ht="48" customHeight="1">
      <ns0:c r="A4" s="2" t="inlineStr">
        <ns0:is>
          <ns0:t>Tabela municipal</ns0:t>
        </ns0:is>
      </ns0:c>
      <ns0:c r="B4" s="2" t="inlineStr">
        <ns0:is>
          <ns0:t>ANEXO A - LC 064.2026 MAGIST.doc</ns0:t>
        </ns0:is>
      </ns0:c>
      <ns0:c r="C4" s="48" t="n"/>
    </ns0:row>
    <ns0:row r="5" ht="48" customHeight="1">
      <ns0:c r="A5" s="2" t="inlineStr">
        <ns0:is>
          <ns0:t>URL tabela</ns0:t>
        </ns0:is>
      </ns0:c>
      <ns0:c r="B5" s="2" t="inlineStr">
        <ns0:is>
          <ns0:t>Documento municipal enviado pelo professor: Anexo A da LC 064/2026</ns0:t>
        </ns0:is>
      </ns0:c>
      <ns0:c r="C5" s="48" t="n"/>
    </ns0:row>
    <ns0:row r="6" ht="48" customHeight="1">
      <ns0:c r="A6" s="2" t="inlineStr">
        <ns0:is>
          <ns0:t>Referência</ns0:t>
        </ns0:is>
      </ns0:c>
      <ns0:c r="B6" s="2" t="inlineStr">
        <ns0:is>
          <ns0:t>Lei Federal nº 15.437/2026</ns0:t>
        </ns0:is>
      </ns0:c>
      <ns0:c r="C6" s="48" t="n"/>
    </ns0:row>
    <ns0:row r="7" ht="48" customHeight="1">
      <ns0:c r="A7" s="2" t="inlineStr">
        <ns0:is>
          <ns0:t>URL referência</ns0:t>
        </ns0:is>
      </ns0:c>
      <ns0:c r="B7" s="2" t="inlineStr">
        <ns0:is>
          <ns0:t>https://www.planalto.gov.br/ccivil_03/_ato2023-2026/2026/lei/l15437.htm</ns0:t>
        </ns0:is>
      </ns0:c>
      <ns0:c r="C7" s="48" t="n"/>
    </ns0:row>
    <ns0:row r="8" ht="48" customHeight="1">
      <ns0:c r="A8" s="2" t="inlineStr">
        <ns0:is>
          <ns0:t>Centavos</ns0:t>
        </ns0:is>
      </ns0:c>
      <ns0:c r="B8" s="2" t="inlineStr">
        <ns0:is>
          <ns0:t>truncar em cada etapa. Padrão geral: arredondar. Cafezal: truncar para reproduzir o anexo.</ns0:t>
        </ns0:is>
      </ns0:c>
      <ns0:c r="C8" s="48" t="n"/>
    </ns0:row>
    <ns0:row r="9" ht="48" customHeight="1">
      <ns0:c r="A9" s="2" t="inlineStr">
        <ns0:is>
          <ns0:t>Vigência</ns0:t>
        </ns0:is>
      </ns0:c>
      <ns0:c r="B9" s="2" t="inlineStr">
        <ns0:is>
          <ns0:t>2026; não pressupõe que a tabela histórica seja a mais recente.</ns0:t>
        </ns0:is>
      </ns0:c>
      <ns0:c r="C9" s="48" t="n"/>
    </ns0:row>
    <ns0:row r="10" ht="48" customHeight="1">
      <ns0:c r="A10" s="2" t="inlineStr">
        <ns0:is>
          <ns0:t>Regra da defasagem</ns0:t>
        </ns0:is>
      </ns0:c>
      <ns0:c r="B10" s="2" t="inlineStr">
        <ns0:is>
          <ns0:t>(referência / atual - 1) × 100; o destaque usa a classe inicial, conforme o exemplo.</ns0:t>
        </ns0:is>
      </ns0:c>
      <ns0:c r="C10" s="48" t="n"/>
    </ns0:row>
    <ns0:row r="11" ht="48" customHeight="1">
      <ns0:c r="A11" s="2" t="inlineStr">
        <ns0:is>
          <ns0:t>Valores atuais</ns0:t>
        </ns0:is>
      </ns0:c>
      <ns0:c r="B11" s="2" t="inlineStr">
        <ns0:is>
          <ns0:t>Transcritos do documento. Permanecem preservados; somente referências são calculadas.</ns0:t>
        </ns0:is>
      </ns0:c>
      <ns0:c r="C11" s="48" t="n"/>
    </ns0:row>
    <ns0:row r="12" ht="48" customHeight="1">
      <ns0:c r="A12" s="2" t="inlineStr">
        <ns0:is>
          <ns0:t>Uso da referência</ns0:t>
        </ns0:is>
      </ns0:c>
      <ns0:c r="B12" s="2" t="inlineStr">
        <ns0:is>
          <ns0:t>pspn: PSPN 2026</ns0:t>
        </ns0:is>
      </ns0:c>
      <ns0:c r="C12" s="48" t="n"/>
    </ns0:row>
    <ns0:row r="13" ht="48" customHeight="1">
      <ns0:c r="A13" s="2" t="inlineStr">
        <ns0:is>
          <ns0:t>Cores de alerta</ns0:t>
        </ns0:is>
      </ns0:c>
      <ns0:c r="B13" s="2" t="inlineStr">
        <ns0:is>
          <ns0:t>Vermelho na tabela atual: vencimento abaixo da base de referência. Diferenças da carreira: atual menos referência.</ns0:t>
        </ns0:is>
      </ns0:c>
      <ns0:c r="C13" s="48" t="n"/>
    </ns0:row>
    <ns0:row r="14" ht="48" customHeight="1">
      <ns0:c r="A14" s="2" t="inlineStr">
        <ns0:is>
          <ns0:t>Edição posterior</ns0:t>
        </ns0:is>
      </ns0:c>
      <ns0:c r="B14" s="2" t="inlineStr">
        <ns0:is>
          <ns0:t>Ajuste valores, modo e progressões em Parâmetros/Dados originais. Mudança de fonte, profissão, vigência ou quantidade de classes: regenere pelo sistema.</ns0:t>
        </ns0:is>
      </ns0:c>
      <ns0:c r="C14" s="48" t="n"/>
    </ns0:row>
    <ns0:row r="15" ht="48" customHeight="1">
      <ns0:c r="A15" s="2" t="inlineStr">
        <ns0:is>
          <ns0:t>Observação ao gerar</ns0:t>
        </ns0:is>
      </ns0:c>
      <ns0:c r="B15" s="2" t="inlineStr">
        <ns0:is>
          <ns0:t>O truncamento foi aplicado em cada etapa para reproduzir o anexo municipal; confirme essa regra com o responsável antes de emitir parecer.</ns0:t>
        </ns0:is>
      </ns0:c>
      <ns0:c r="C15" s="48" t="n"/>
    </ns0:row>
    <ns0:row r="16" ht="48" customHeight="1">
      <ns0:c r="A16" s="2" t="inlineStr">
        <ns0:is>
          <ns0:t>Observação ao gerar</ns0:t>
        </ns0:is>
      </ns0:c>
      <ns0:c r="B16" s="2" t="inlineStr">
        <ns0:is>
          <ns0:t>A carga horária não está declarada no anexo analisado; a jornada informada deve ser confirmada na lei completa.</ns0:t>
        </ns0:is>
      </ns0:c>
      <ns0:c r="C16" s="48" t="n"/>
    </ns0:row>
    <ns0:row r="17" ht="48" customHeight="1">
      <ns0:c r="A17" s="2" t="inlineStr">
        <ns0:is>
          <ns0:t>Observação ao gerar</ns0:t>
        </ns0:is>
      </ns0:c>
      <ns0:c r="B17" s="2" t="inlineStr">
        <ns0:is>
          <ns0:t>A referência aplica as regras de carreira informadas; divergências numéricas não constituem parecer jurídico.</ns0:t>
        </ns0:is>
      </ns0:c>
      <ns0:c r="C17" s="48" t="n"/>
    </ns0:row>
  </ns0:sheetData>
  <ns0:mergeCells count="1">
    <ns0:mergeCell ref="A1:C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2026-10-04T13:24:21Z</dcterms:created>
  <dcterms:modified xmlns:dcterms="http://purl.org/dc/terms/" xmlns:xsi="http://www.w3.org/2001/XMLSchema-instance" xsi:type="dcterms:W3CDTF">2026-10-04T13:24:21Z</dcterms:modified>
</cp:coreProperties>
</file>