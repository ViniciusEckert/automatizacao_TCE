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salarial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Dados originais" sheetId="3" state="visible" r:id="rId3"/>
    <sheet xmlns:r="http://schemas.openxmlformats.org/officeDocument/2006/relationships" name="Fontes e premissas" sheetId="4" state="visible" r:id="rId4"/>
  </sheets>
  <definedNames>
    <definedName name="_xlnm.Print_Area" localSheetId="0">'Comparação salarial'!$A$1:$R$229</definedName>
    <definedName name="_xlnm.Print_Area" localSheetId="1">'Parâmetros'!$A$1:$F$74</definedName>
    <definedName name="_xlnm.Print_Area" localSheetId="2">'Dados originais'!$A$1:$AW$7</definedName>
    <definedName name="_xlnm.Print_Area" localSheetId="3">'Fontes e premissas'!$A$1:$C$21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 #,##0.00;-&quot;R$&quot; #,##0.00;&quot;R$&quot; 0.00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C4D79B"/>
      </patternFill>
    </fill>
    <fill>
      <patternFill patternType="solid">
        <fgColor rgb="00403152"/>
      </patternFill>
    </fill>
    <fill>
      <patternFill patternType="solid">
        <fgColor rgb="00B1A0C7"/>
      </patternFill>
    </fill>
    <fill>
      <patternFill patternType="solid">
        <fgColor rgb="00FF0000"/>
      </patternFill>
    </fill>
    <fill>
      <patternFill patternType="solid">
        <fgColor rgb="00E6B8B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4F6228"/>
      </bottom>
    </border>
    <border>
      <bottom style="thin">
        <color rgb="00403152"/>
      </bottom>
    </border>
    <border>
      <bottom style="thin">
        <color rgb="00FF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left" vertical="center"/>
    </xf>
    <xf numFmtId="10" fontId="1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10" fontId="3" fillId="3" borderId="0" applyAlignment="1" pivotButton="0" quotePrefix="0" xfId="0">
      <alignment horizontal="left" vertical="center"/>
    </xf>
    <xf numFmtId="10" fontId="3" fillId="3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/>
    </xf>
    <xf numFmtId="0" fontId="3" fillId="7" borderId="3" applyAlignment="1" pivotButton="0" quotePrefix="0" xfId="0">
      <alignment horizontal="left" vertical="center"/>
    </xf>
    <xf numFmtId="0" fontId="3" fillId="7" borderId="3" applyAlignment="1" pivotButton="0" quotePrefix="0" xfId="0">
      <alignment horizontal="right" vertical="center"/>
    </xf>
    <xf numFmtId="164" fontId="3" fillId="7" borderId="3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 wrapText="1"/>
    </xf>
    <xf numFmtId="10" fontId="7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7" borderId="3" applyAlignment="1" pivotButton="0" quotePrefix="0" xfId="0">
      <alignment vertical="center"/>
    </xf>
    <xf numFmtId="0" fontId="8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right" vertical="center" wrapText="1"/>
    </xf>
    <xf numFmtId="164" fontId="8" fillId="8" borderId="0" applyAlignment="1" pivotButton="0" quotePrefix="0" xfId="0">
      <alignment horizontal="right" vertical="center" wrapText="1"/>
    </xf>
    <xf numFmtId="164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Equipe</author>
  </authors>
  <commentList>
    <comment ref="B9" authorId="0" shapeId="0">
      <text>
        <t xml:space="preserve">Hipótese de teste definida pela equipe: 2.180,44 × 1,05. Não é piso legal nem proposta aprovada.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R229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10" customWidth="1" min="2" max="2"/>
    <ns0:col width="16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  <ns0:col width="16" customWidth="1" min="16" max="16"/>
    <ns0:col width="16" customWidth="1" min="17" max="17"/>
    <ns0:col width="16" customWidth="1" min="18" max="18"/>
  </ns0:cols>
  <ns0:sheetData>
    <ns0:row r="1" ht="30" customHeight="1">
      <ns0:c r="A1" s="1" t="inlineStr">
        <ns0:is>
          <ns0:t>ANÁLISE SALARIAL — CURITIBA / PR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  <ns0:c r="O1" s="1" t="n"/>
      <ns0:c r="P1" s="1" t="n"/>
      <ns0:c r="Q1" s="1" t="n"/>
      <ns0:c r="R1" s="1" t="n"/>
    </ns0:row>
    <ns0:row r="2" ht="30" customHeight="1">
      <ns0:c r="A2" s="2" t="inlineStr">
        <ns0:is>
          <ns0:t>Auxiliar Administrativo Operacional · 2026 · 40 horas semanais · Portaria SMGP nº 4/2026, Anexo B1 — parte permanente; Lei nº 16.198/2023</ns0:t>
        </ns0:is>
      </ns0:c>
      <ns0:c r="B2" s="2" t="n"/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</ns0:row>
    <ns0:row r="3" ht="30" customHeight="1">
      <ns0:c r="A3" s="2" t="inlineStr">
        <ns0:is>
          <ns0:t>Referência: Cenário didático: base inicial +5% (cenario). Fonte, competência e decisões: aba Fontes e premissas.</ns0:t>
        </ns0:is>
      </ns0:c>
      <ns0:c r="B3" s="2" t="n"/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  <ns0:c r="P3" s="2" t="n"/>
      <ns0:c r="Q3" s="2" t="n"/>
      <ns0:c r="R3" s="2" t="n"/>
    </ns0:row>
    <ns0:row r="4">
      <ns0:c r="A4" s="3" t="inlineStr">
        <ns0:is>
          <ns0:t>Base da referência:</ns0:t>
        </ns0:is>
      </ns0:c>
      <ns0:c r="D4" s="4">
        <ns0:f>'Parâmetros'!B13</ns0:f>
        <ns0:v>2289.46</ns0:v>
      </ns0:c>
    </ns0:row>
    <ns0:row r="5" ht="30" customHeight="1">
      <ns0:c r="A5" s="2" t="inlineStr">
        <ns0:is>
          <ns0:t>Continuação das classes/referências: I a XV. Nenhuma classe foi descartada.</ns0:t>
        </ns0:is>
      </ns0:c>
      <ns0:c r="B5" s="2" t="n"/>
      <ns0:c r="C5" s="2" t="n"/>
      <ns0:c r="D5" s="2" t="n"/>
      <ns0:c r="E5" s="2" t="n"/>
      <ns0:c r="F5" s="2" t="n"/>
      <ns0:c r="G5" s="2" t="n"/>
      <ns0:c r="H5" s="2" t="n"/>
      <ns0:c r="I5" s="2" t="n"/>
      <ns0:c r="J5" s="2" t="n"/>
      <ns0:c r="K5" s="2" t="n"/>
      <ns0:c r="L5" s="2" t="n"/>
      <ns0:c r="M5" s="2" t="n"/>
      <ns0:c r="N5" s="2" t="n"/>
      <ns0:c r="O5" s="2" t="n"/>
      <ns0:c r="P5" s="2" t="n"/>
      <ns0:c r="Q5" s="2" t="n"/>
      <ns0:c r="R5" s="2" t="n"/>
    </ns0:row>
    <ns0:row r="7" ht="28" customHeight="1">
      <ns0:c r="A7" s="5" t="inlineStr">
        <ns0:is>
          <ns0:t>ESTRUTURA DE PROMOÇÃO / PROGRESSÃO</ns0:t>
        </ns0:is>
      </ns0:c>
      <ns0:c r="B7" s="5" t="n"/>
      <ns0:c r="C7" s="5" t="n"/>
      <ns0:c r="D7" s="5" t="n"/>
      <ns0:c r="E7" s="5" t="n"/>
      <ns0:c r="F7" s="5" t="n"/>
      <ns0:c r="G7" s="5" t="n"/>
      <ns0:c r="H7" s="5" t="n"/>
      <ns0:c r="I7" s="5" t="n"/>
      <ns0:c r="J7" s="5" t="n"/>
      <ns0:c r="K7" s="5" t="n"/>
      <ns0:c r="L7" s="5" t="n"/>
      <ns0:c r="M7" s="5" t="n"/>
      <ns0:c r="N7" s="5" t="n"/>
      <ns0:c r="O7" s="5" t="n"/>
      <ns0:c r="P7" s="5" t="n"/>
      <ns0:c r="Q7" s="5" t="n"/>
      <ns0:c r="R7" s="5" t="n"/>
    </ns0:row>
    <ns0:row r="8" ht="24" customHeight="1">
      <ns0:c r="A8" s="6" t="inlineStr">
        <ns0:is>
          <ns0:t>AUXILIAR ADMINISTRATIVO OPERACIONAL — 40 HORAS</ns0:t>
        </ns0:is>
      </ns0:c>
      <ns0:c r="B8" s="6" t="n"/>
      <ns0:c r="C8" s="6" t="n"/>
      <ns0:c r="D8" s="6" t="n"/>
      <ns0:c r="E8" s="6" t="n"/>
      <ns0:c r="F8" s="6" t="n"/>
      <ns0:c r="G8" s="6" t="n"/>
      <ns0:c r="H8" s="6" t="n"/>
      <ns0:c r="I8" s="6" t="n"/>
      <ns0:c r="J8" s="6" t="n"/>
      <ns0:c r="K8" s="6" t="n"/>
      <ns0:c r="L8" s="6" t="n"/>
      <ns0:c r="M8" s="6" t="n"/>
      <ns0:c r="N8" s="6" t="n"/>
      <ns0:c r="O8" s="6" t="n"/>
      <ns0:c r="P8" s="6" t="n"/>
      <ns0:c r="Q8" s="6" t="n"/>
      <ns0:c r="R8" s="6" t="n"/>
    </ns0:row>
    <ns0:row r="9" ht="28" customHeight="1">
      <ns0:c r="A9" s="7" t="inlineStr">
        <ns0:is>
          <ns0:t>Classes →</ns0:t>
        </ns0:is>
      </ns0:c>
      <ns0:c r="B9" s="7" t="inlineStr">
        <ns0:is>
          <ns0:t>Nível</ns0:t>
        </ns0:is>
      </ns0:c>
      <ns0:c r="C9" s="7" t="inlineStr">
        <ns0:is>
          <ns0:t>Regra vertical</ns0:t>
        </ns0:is>
      </ns0:c>
      <ns0:c r="D9" s="7" t="inlineStr">
        <ns0:is>
          <ns0:t>I</ns0:t>
        </ns0:is>
      </ns0:c>
      <ns0:c r="E9" s="7" t="inlineStr">
        <ns0:is>
          <ns0:t>II</ns0:t>
        </ns0:is>
      </ns0:c>
      <ns0:c r="F9" s="7" t="inlineStr">
        <ns0:is>
          <ns0:t>III</ns0:t>
        </ns0:is>
      </ns0:c>
      <ns0:c r="G9" s="7" t="inlineStr">
        <ns0:is>
          <ns0:t>IV</ns0:t>
        </ns0:is>
      </ns0:c>
      <ns0:c r="H9" s="7" t="inlineStr">
        <ns0:is>
          <ns0:t>V</ns0:t>
        </ns0:is>
      </ns0:c>
      <ns0:c r="I9" s="7" t="inlineStr">
        <ns0:is>
          <ns0:t>VI</ns0:t>
        </ns0:is>
      </ns0:c>
      <ns0:c r="J9" s="7" t="inlineStr">
        <ns0:is>
          <ns0:t>VII</ns0:t>
        </ns0:is>
      </ns0:c>
      <ns0:c r="K9" s="7" t="inlineStr">
        <ns0:is>
          <ns0:t>VIII</ns0:t>
        </ns0:is>
      </ns0:c>
      <ns0:c r="L9" s="7" t="inlineStr">
        <ns0:is>
          <ns0:t>IX</ns0:t>
        </ns0:is>
      </ns0:c>
      <ns0:c r="M9" s="7" t="inlineStr">
        <ns0:is>
          <ns0:t>X</ns0:t>
        </ns0:is>
      </ns0:c>
      <ns0:c r="N9" s="7" t="inlineStr">
        <ns0:is>
          <ns0:t>XI</ns0:t>
        </ns0:is>
      </ns0:c>
      <ns0:c r="O9" s="7" t="inlineStr">
        <ns0:is>
          <ns0:t>XII</ns0:t>
        </ns0:is>
      </ns0:c>
      <ns0:c r="P9" s="7" t="inlineStr">
        <ns0:is>
          <ns0:t>XIII</ns0:t>
        </ns0:is>
      </ns0:c>
      <ns0:c r="Q9" s="7" t="inlineStr">
        <ns0:is>
          <ns0:t>XIV</ns0:t>
        </ns0:is>
      </ns0:c>
      <ns0:c r="R9" s="7" t="inlineStr">
        <ns0:is>
          <ns0:t>XV</ns0:t>
        </ns0:is>
      </ns0:c>
    </ns0:row>
    <ns0:row r="10" ht="26" customHeight="1">
      <ns0:c r="A10" s="3" t="inlineStr">
        <ns0:is>
          <ns0:t>Níveis ↓</ns0:t>
        </ns0:is>
      </ns0:c>
      <ns0:c r="B10" s="3" t="inlineStr">
        <ns0:is>
          <ns0:t>I</ns0:t>
        </ns0:is>
      </ns0:c>
      <ns0:c r="C10" s="3" t="inlineStr">
        <ns0:is>
          <ns0:t>Base</ns0:t>
        </ns0:is>
      </ns0:c>
      <ns0:c r="D10" s="8" t="inlineStr">
        <ns0:is>
          <ns0:t>Entrada</ns0:t>
        </ns0:is>
      </ns0:c>
      <ns0:c r="E10" s="9">
        <ns0:f>'Parâmetros'!C27/100</ns0:f>
        <ns0:v>0.027999999999999997</ns0:v>
      </ns0:c>
      <ns0:c r="F10" s="9">
        <ns0:f>'Parâmetros'!C28/100</ns0:f>
        <ns0:v>0.027999999999999997</ns0:v>
      </ns0:c>
      <ns0:c r="G10" s="9">
        <ns0:f>'Parâmetros'!C29/100</ns0:f>
        <ns0:v>0.027999999999999997</ns0:v>
      </ns0:c>
      <ns0:c r="H10" s="9">
        <ns0:f>'Parâmetros'!C30/100</ns0:f>
        <ns0:v>0.027999999999999997</ns0:v>
      </ns0:c>
      <ns0:c r="I10" s="9">
        <ns0:f>'Parâmetros'!C31/100</ns0:f>
        <ns0:v>0.027999999999999997</ns0:v>
      </ns0:c>
      <ns0:c r="J10" s="9">
        <ns0:f>'Parâmetros'!C32/100</ns0:f>
        <ns0:v>0.027999999999999997</ns0:v>
      </ns0:c>
      <ns0:c r="K10" s="9">
        <ns0:f>'Parâmetros'!C33/100</ns0:f>
        <ns0:v>0.027999999999999997</ns0:v>
      </ns0:c>
      <ns0:c r="L10" s="9">
        <ns0:f>'Parâmetros'!C34/100</ns0:f>
        <ns0:v>0.027999999999999997</ns0:v>
      </ns0:c>
      <ns0:c r="M10" s="9">
        <ns0:f>'Parâmetros'!C35/100</ns0:f>
        <ns0:v>0.027999999999999997</ns0:v>
      </ns0:c>
      <ns0:c r="N10" s="9">
        <ns0:f>'Parâmetros'!C36/100</ns0:f>
        <ns0:v>0.027999999999999997</ns0:v>
      </ns0:c>
      <ns0:c r="O10" s="9">
        <ns0:f>'Parâmetros'!C37/100</ns0:f>
        <ns0:v>0.027999999999999997</ns0:v>
      </ns0:c>
      <ns0:c r="P10" s="9">
        <ns0:f>'Parâmetros'!C38/100</ns0:f>
        <ns0:v>0.027999999999999997</ns0:v>
      </ns0:c>
      <ns0:c r="Q10" s="9">
        <ns0:f>'Parâmetros'!C39/100</ns0:f>
        <ns0:v>0.027999999999999997</ns0:v>
      </ns0:c>
      <ns0:c r="R10" s="9">
        <ns0:f>'Parâmetros'!C40/100</ns0:f>
        <ns0:v>0.027999999999999997</ns0:v>
      </ns0:c>
    </ns0:row>
    <ns0:row r="11" ht="26" customHeight="1">
      <ns0:c r="B11" s="10" t="inlineStr">
        <ns0:is>
          <ns0:t>II</ns0:t>
        </ns0:is>
      </ns0:c>
      <ns0:c r="C11" s="11" t="str">
        <ns0:f> "+"&amp;TEXT('Parâmetros'!D20,"0.00")&amp;IF('Parâmetros'!C20="valor_fixo"," R$ / ","% / ")&amp;'Parâmetros'!E20</ns0:f>
        <ns0:v>+15.00% / I</ns0:v>
      </ns0:c>
      <ns0:c r="D11" s="12" t="inlineStr">
        <ns0:is>
          <ns0:t>Entrada</ns0:t>
        </ns0:is>
      </ns0:c>
      <ns0:c r="E11" s="13">
        <ns0:f>'Parâmetros'!C27/100</ns0:f>
        <ns0:v>0.027999999999999997</ns0:v>
      </ns0:c>
      <ns0:c r="F11" s="13">
        <ns0:f>'Parâmetros'!C28/100</ns0:f>
        <ns0:v>0.027999999999999997</ns0:v>
      </ns0:c>
      <ns0:c r="G11" s="13">
        <ns0:f>'Parâmetros'!C29/100</ns0:f>
        <ns0:v>0.027999999999999997</ns0:v>
      </ns0:c>
      <ns0:c r="H11" s="13">
        <ns0:f>'Parâmetros'!C30/100</ns0:f>
        <ns0:v>0.027999999999999997</ns0:v>
      </ns0:c>
      <ns0:c r="I11" s="13">
        <ns0:f>'Parâmetros'!C31/100</ns0:f>
        <ns0:v>0.027999999999999997</ns0:v>
      </ns0:c>
      <ns0:c r="J11" s="13">
        <ns0:f>'Parâmetros'!C32/100</ns0:f>
        <ns0:v>0.027999999999999997</ns0:v>
      </ns0:c>
      <ns0:c r="K11" s="13">
        <ns0:f>'Parâmetros'!C33/100</ns0:f>
        <ns0:v>0.027999999999999997</ns0:v>
      </ns0:c>
      <ns0:c r="L11" s="13">
        <ns0:f>'Parâmetros'!C34/100</ns0:f>
        <ns0:v>0.027999999999999997</ns0:v>
      </ns0:c>
      <ns0:c r="M11" s="13">
        <ns0:f>'Parâmetros'!C35/100</ns0:f>
        <ns0:v>0.027999999999999997</ns0:v>
      </ns0:c>
      <ns0:c r="N11" s="13">
        <ns0:f>'Parâmetros'!C36/100</ns0:f>
        <ns0:v>0.027999999999999997</ns0:v>
      </ns0:c>
      <ns0:c r="O11" s="13">
        <ns0:f>'Parâmetros'!C37/100</ns0:f>
        <ns0:v>0.027999999999999997</ns0:v>
      </ns0:c>
      <ns0:c r="P11" s="13">
        <ns0:f>'Parâmetros'!C38/100</ns0:f>
        <ns0:v>0.027999999999999997</ns0:v>
      </ns0:c>
      <ns0:c r="Q11" s="13">
        <ns0:f>'Parâmetros'!C39/100</ns0:f>
        <ns0:v>0.027999999999999997</ns0:v>
      </ns0:c>
      <ns0:c r="R11" s="13">
        <ns0:f>'Parâmetros'!C40/100</ns0:f>
        <ns0:v>0.027999999999999997</ns0:v>
      </ns0:c>
    </ns0:row>
    <ns0:row r="12" ht="26" customHeight="1">
      <ns0:c r="B12" s="3" t="inlineStr">
        <ns0:is>
          <ns0:t>III</ns0:t>
        </ns0:is>
      </ns0:c>
      <ns0:c r="C12" s="14" t="str">
        <ns0:f> "+"&amp;TEXT('Parâmetros'!D21,"0.00")&amp;IF('Parâmetros'!C21="valor_fixo"," R$ / ","% / ")&amp;'Parâmetros'!E21</ns0:f>
        <ns0:v>+15.00% / II</ns0:v>
      </ns0:c>
      <ns0:c r="D12" s="8" t="inlineStr">
        <ns0:is>
          <ns0:t>Entrada</ns0:t>
        </ns0:is>
      </ns0:c>
      <ns0:c r="E12" s="9">
        <ns0:f>'Parâmetros'!C27/100</ns0:f>
        <ns0:v>0.027999999999999997</ns0:v>
      </ns0:c>
      <ns0:c r="F12" s="9">
        <ns0:f>'Parâmetros'!C28/100</ns0:f>
        <ns0:v>0.027999999999999997</ns0:v>
      </ns0:c>
      <ns0:c r="G12" s="9">
        <ns0:f>'Parâmetros'!C29/100</ns0:f>
        <ns0:v>0.027999999999999997</ns0:v>
      </ns0:c>
      <ns0:c r="H12" s="9">
        <ns0:f>'Parâmetros'!C30/100</ns0:f>
        <ns0:v>0.027999999999999997</ns0:v>
      </ns0:c>
      <ns0:c r="I12" s="9">
        <ns0:f>'Parâmetros'!C31/100</ns0:f>
        <ns0:v>0.027999999999999997</ns0:v>
      </ns0:c>
      <ns0:c r="J12" s="9">
        <ns0:f>'Parâmetros'!C32/100</ns0:f>
        <ns0:v>0.027999999999999997</ns0:v>
      </ns0:c>
      <ns0:c r="K12" s="9">
        <ns0:f>'Parâmetros'!C33/100</ns0:f>
        <ns0:v>0.027999999999999997</ns0:v>
      </ns0:c>
      <ns0:c r="L12" s="9">
        <ns0:f>'Parâmetros'!C34/100</ns0:f>
        <ns0:v>0.027999999999999997</ns0:v>
      </ns0:c>
      <ns0:c r="M12" s="9">
        <ns0:f>'Parâmetros'!C35/100</ns0:f>
        <ns0:v>0.027999999999999997</ns0:v>
      </ns0:c>
      <ns0:c r="N12" s="9">
        <ns0:f>'Parâmetros'!C36/100</ns0:f>
        <ns0:v>0.027999999999999997</ns0:v>
      </ns0:c>
      <ns0:c r="O12" s="9">
        <ns0:f>'Parâmetros'!C37/100</ns0:f>
        <ns0:v>0.027999999999999997</ns0:v>
      </ns0:c>
      <ns0:c r="P12" s="9">
        <ns0:f>'Parâmetros'!C38/100</ns0:f>
        <ns0:v>0.027999999999999997</ns0:v>
      </ns0:c>
      <ns0:c r="Q12" s="9">
        <ns0:f>'Parâmetros'!C39/100</ns0:f>
        <ns0:v>0.027999999999999997</ns0:v>
      </ns0:c>
      <ns0:c r="R12" s="9">
        <ns0:f>'Parâmetros'!C40/100</ns0:f>
        <ns0:v>0.027999999999999997</ns0:v>
      </ns0:c>
    </ns0:row>
    <ns0:row r="13" ht="26" customHeight="1">
      <ns0:c r="A13" s="15" t="n"/>
      <ns0:c r="B13" s="16" t="inlineStr">
        <ns0:is>
          <ns0:t>IV</ns0:t>
        </ns0:is>
      </ns0:c>
      <ns0:c r="C13" s="17" t="str">
        <ns0:f> "+"&amp;TEXT('Parâmetros'!D22,"0.00")&amp;IF('Parâmetros'!C22="valor_fixo"," R$ / ","% / ")&amp;'Parâmetros'!E22</ns0:f>
        <ns0:v>+15.00% / III</ns0:v>
      </ns0:c>
      <ns0:c r="D13" s="18" t="inlineStr">
        <ns0:is>
          <ns0:t>Entrada</ns0:t>
        </ns0:is>
      </ns0:c>
      <ns0:c r="E13" s="19">
        <ns0:f>'Parâmetros'!C27/100</ns0:f>
        <ns0:v>0.027999999999999997</ns0:v>
      </ns0:c>
      <ns0:c r="F13" s="19">
        <ns0:f>'Parâmetros'!C28/100</ns0:f>
        <ns0:v>0.027999999999999997</ns0:v>
      </ns0:c>
      <ns0:c r="G13" s="19">
        <ns0:f>'Parâmetros'!C29/100</ns0:f>
        <ns0:v>0.027999999999999997</ns0:v>
      </ns0:c>
      <ns0:c r="H13" s="19">
        <ns0:f>'Parâmetros'!C30/100</ns0:f>
        <ns0:v>0.027999999999999997</ns0:v>
      </ns0:c>
      <ns0:c r="I13" s="19">
        <ns0:f>'Parâmetros'!C31/100</ns0:f>
        <ns0:v>0.027999999999999997</ns0:v>
      </ns0:c>
      <ns0:c r="J13" s="19">
        <ns0:f>'Parâmetros'!C32/100</ns0:f>
        <ns0:v>0.027999999999999997</ns0:v>
      </ns0:c>
      <ns0:c r="K13" s="19">
        <ns0:f>'Parâmetros'!C33/100</ns0:f>
        <ns0:v>0.027999999999999997</ns0:v>
      </ns0:c>
      <ns0:c r="L13" s="19">
        <ns0:f>'Parâmetros'!C34/100</ns0:f>
        <ns0:v>0.027999999999999997</ns0:v>
      </ns0:c>
      <ns0:c r="M13" s="19">
        <ns0:f>'Parâmetros'!C35/100</ns0:f>
        <ns0:v>0.027999999999999997</ns0:v>
      </ns0:c>
      <ns0:c r="N13" s="19">
        <ns0:f>'Parâmetros'!C36/100</ns0:f>
        <ns0:v>0.027999999999999997</ns0:v>
      </ns0:c>
      <ns0:c r="O13" s="19">
        <ns0:f>'Parâmetros'!C37/100</ns0:f>
        <ns0:v>0.027999999999999997</ns0:v>
      </ns0:c>
      <ns0:c r="P13" s="19">
        <ns0:f>'Parâmetros'!C38/100</ns0:f>
        <ns0:v>0.027999999999999997</ns0:v>
      </ns0:c>
      <ns0:c r="Q13" s="19">
        <ns0:f>'Parâmetros'!C39/100</ns0:f>
        <ns0:v>0.027999999999999997</ns0:v>
      </ns0:c>
      <ns0:c r="R13" s="19">
        <ns0:f>'Parâmetros'!C40/100</ns0:f>
        <ns0:v>0.027999999999999997</ns0:v>
      </ns0:c>
    </ns0:row>
    <ns0:row r="16" ht="28" customHeight="1">
      <ns0:c r="A16" s="5" t="inlineStr">
        <ns0:is>
          <ns0:t>• TABELA DE VENCIMENTOS 2026 •</ns0:t>
        </ns0:is>
      </ns0:c>
      <ns0:c r="B16" s="5" t="n"/>
      <ns0:c r="C16" s="5" t="n"/>
      <ns0:c r="D16" s="5" t="n"/>
      <ns0:c r="E16" s="5" t="n"/>
      <ns0:c r="F16" s="5" t="n"/>
      <ns0:c r="G16" s="5" t="n"/>
      <ns0:c r="H16" s="5" t="n"/>
      <ns0:c r="I16" s="5" t="n"/>
      <ns0:c r="J16" s="5" t="n"/>
      <ns0:c r="K16" s="5" t="n"/>
      <ns0:c r="L16" s="5" t="n"/>
      <ns0:c r="M16" s="5" t="n"/>
      <ns0:c r="N16" s="5" t="n"/>
      <ns0:c r="O16" s="5" t="n"/>
      <ns0:c r="P16" s="5" t="n"/>
      <ns0:c r="Q16" s="5" t="n"/>
      <ns0:c r="R16" s="5" t="n"/>
    </ns0:row>
    <ns0:row r="17" ht="24" customHeight="1">
      <ns0:c r="A17" s="6" t="inlineStr">
        <ns0:is>
          <ns0:t>AUXILIAR ADMINISTRATIVO OPERACIONAL — 40 HORAS</ns0:t>
        </ns0:is>
      </ns0:c>
      <ns0:c r="B17" s="6" t="n"/>
      <ns0:c r="C17" s="6" t="n"/>
      <ns0:c r="D17" s="6" t="n"/>
      <ns0:c r="E17" s="6" t="n"/>
      <ns0:c r="F17" s="6" t="n"/>
      <ns0:c r="G17" s="6" t="n"/>
      <ns0:c r="H17" s="6" t="n"/>
      <ns0:c r="I17" s="6" t="n"/>
      <ns0:c r="J17" s="6" t="n"/>
      <ns0:c r="K17" s="6" t="n"/>
      <ns0:c r="L17" s="6" t="n"/>
      <ns0:c r="M17" s="6" t="n"/>
      <ns0:c r="N17" s="6" t="n"/>
      <ns0:c r="O17" s="6" t="n"/>
      <ns0:c r="P17" s="6" t="n"/>
      <ns0:c r="Q17" s="6" t="n"/>
      <ns0:c r="R17" s="6" t="n"/>
    </ns0:row>
    <ns0:row r="18" ht="28" customHeight="1">
      <ns0:c r="A18" s="7" t="inlineStr">
        <ns0:is>
          <ns0:t>Classes →</ns0:t>
        </ns0:is>
      </ns0:c>
      <ns0:c r="B18" s="7" t="inlineStr">
        <ns0:is>
          <ns0:t>Nível</ns0:t>
        </ns0:is>
      </ns0:c>
      <ns0:c r="C18" s="7" t="inlineStr">
        <ns0:is>
          <ns0:t>Regra vertical</ns0:t>
        </ns0:is>
      </ns0:c>
      <ns0:c r="D18" s="7" t="inlineStr">
        <ns0:is>
          <ns0:t>I</ns0:t>
        </ns0:is>
      </ns0:c>
      <ns0:c r="E18" s="7" t="inlineStr">
        <ns0:is>
          <ns0:t>II</ns0:t>
        </ns0:is>
      </ns0:c>
      <ns0:c r="F18" s="7" t="inlineStr">
        <ns0:is>
          <ns0:t>III</ns0:t>
        </ns0:is>
      </ns0:c>
      <ns0:c r="G18" s="7" t="inlineStr">
        <ns0:is>
          <ns0:t>IV</ns0:t>
        </ns0:is>
      </ns0:c>
      <ns0:c r="H18" s="7" t="inlineStr">
        <ns0:is>
          <ns0:t>V</ns0:t>
        </ns0:is>
      </ns0:c>
      <ns0:c r="I18" s="7" t="inlineStr">
        <ns0:is>
          <ns0:t>VI</ns0:t>
        </ns0:is>
      </ns0:c>
      <ns0:c r="J18" s="7" t="inlineStr">
        <ns0:is>
          <ns0:t>VII</ns0:t>
        </ns0:is>
      </ns0:c>
      <ns0:c r="K18" s="7" t="inlineStr">
        <ns0:is>
          <ns0:t>VIII</ns0:t>
        </ns0:is>
      </ns0:c>
      <ns0:c r="L18" s="7" t="inlineStr">
        <ns0:is>
          <ns0:t>IX</ns0:t>
        </ns0:is>
      </ns0:c>
      <ns0:c r="M18" s="7" t="inlineStr">
        <ns0:is>
          <ns0:t>X</ns0:t>
        </ns0:is>
      </ns0:c>
      <ns0:c r="N18" s="7" t="inlineStr">
        <ns0:is>
          <ns0:t>XI</ns0:t>
        </ns0:is>
      </ns0:c>
      <ns0:c r="O18" s="7" t="inlineStr">
        <ns0:is>
          <ns0:t>XII</ns0:t>
        </ns0:is>
      </ns0:c>
      <ns0:c r="P18" s="7" t="inlineStr">
        <ns0:is>
          <ns0:t>XIII</ns0:t>
        </ns0:is>
      </ns0:c>
      <ns0:c r="Q18" s="7" t="inlineStr">
        <ns0:is>
          <ns0:t>XIV</ns0:t>
        </ns0:is>
      </ns0:c>
      <ns0:c r="R18" s="7" t="inlineStr">
        <ns0:is>
          <ns0:t>XV</ns0:t>
        </ns0:is>
      </ns0:c>
    </ns0:row>
    <ns0:row r="19" ht="26" customHeight="1">
      <ns0:c r="A19" s="3" t="inlineStr">
        <ns0:is>
          <ns0:t>Níveis ↓</ns0:t>
        </ns0:is>
      </ns0:c>
      <ns0:c r="B19" s="3" t="inlineStr">
        <ns0:is>
          <ns0:t>I</ns0:t>
        </ns0:is>
      </ns0:c>
      <ns0:c r="C19" s="3" t="inlineStr">
        <ns0:is>
          <ns0:t>Base</ns0:t>
        </ns0:is>
      </ns0:c>
      <ns0:c r="D19" s="4">
        <ns0:f>'Dados originais'!D4</ns0:f>
        <ns0:v>2180.44</ns0:v>
      </ns0:c>
      <ns0:c r="E19" s="4">
        <ns0:f>'Dados originais'!E4</ns0:f>
        <ns0:v>2241.49</ns0:v>
      </ns0:c>
      <ns0:c r="F19" s="4">
        <ns0:f>'Dados originais'!F4</ns0:f>
        <ns0:v>2304.25</ns0:v>
      </ns0:c>
      <ns0:c r="G19" s="4">
        <ns0:f>'Dados originais'!G4</ns0:f>
        <ns0:v>2368.77</ns0:v>
      </ns0:c>
      <ns0:c r="H19" s="4">
        <ns0:f>'Dados originais'!H4</ns0:f>
        <ns0:v>2435.1</ns0:v>
      </ns0:c>
      <ns0:c r="I19" s="4">
        <ns0:f>'Dados originais'!I4</ns0:f>
        <ns0:v>2503.28</ns0:v>
      </ns0:c>
      <ns0:c r="J19" s="4">
        <ns0:f>'Dados originais'!J4</ns0:f>
        <ns0:v>2573.37</ns0:v>
      </ns0:c>
      <ns0:c r="K19" s="4">
        <ns0:f>'Dados originais'!K4</ns0:f>
        <ns0:v>2645.43</ns0:v>
      </ns0:c>
      <ns0:c r="L19" s="4">
        <ns0:f>'Dados originais'!L4</ns0:f>
        <ns0:v>2719.5</ns0:v>
      </ns0:c>
      <ns0:c r="M19" s="4">
        <ns0:f>'Dados originais'!M4</ns0:f>
        <ns0:v>2795.65</ns0:v>
      </ns0:c>
      <ns0:c r="N19" s="4">
        <ns0:f>'Dados originais'!N4</ns0:f>
        <ns0:v>2873.93</ns0:v>
      </ns0:c>
      <ns0:c r="O19" s="4">
        <ns0:f>'Dados originais'!O4</ns0:f>
        <ns0:v>2954.39</ns0:v>
      </ns0:c>
      <ns0:c r="P19" s="4">
        <ns0:f>'Dados originais'!P4</ns0:f>
        <ns0:v>3037.12</ns0:v>
      </ns0:c>
      <ns0:c r="Q19" s="4">
        <ns0:f>'Dados originais'!Q4</ns0:f>
        <ns0:v>3122.16</ns0:v>
      </ns0:c>
      <ns0:c r="R19" s="4">
        <ns0:f>'Dados originais'!R4</ns0:f>
        <ns0:v>3209.58</ns0:v>
      </ns0:c>
    </ns0:row>
    <ns0:row r="20" ht="26" customHeight="1">
      <ns0:c r="B20" s="10" t="inlineStr">
        <ns0:is>
          <ns0:t>II</ns0:t>
        </ns0:is>
      </ns0:c>
      <ns0:c r="C20" s="11" t="str">
        <ns0:f> "+"&amp;TEXT('Parâmetros'!D20,"0.00")&amp;IF('Parâmetros'!C20="valor_fixo"," R$ / ","% / ")&amp;'Parâmetros'!E20</ns0:f>
        <ns0:v>+15.00% / I</ns0:v>
      </ns0:c>
      <ns0:c r="D20" s="20">
        <ns0:f>'Dados originais'!D5</ns0:f>
        <ns0:v>2507.51</ns0:v>
      </ns0:c>
      <ns0:c r="E20" s="20">
        <ns0:f>'Dados originais'!E5</ns0:f>
        <ns0:v>2577.72</ns0:v>
      </ns0:c>
      <ns0:c r="F20" s="20">
        <ns0:f>'Dados originais'!F5</ns0:f>
        <ns0:v>2649.89</ns0:v>
      </ns0:c>
      <ns0:c r="G20" s="20">
        <ns0:f>'Dados originais'!G5</ns0:f>
        <ns0:v>2724.09</ns0:v>
      </ns0:c>
      <ns0:c r="H20" s="20">
        <ns0:f>'Dados originais'!H5</ns0:f>
        <ns0:v>2800.36</ns0:v>
      </ns0:c>
      <ns0:c r="I20" s="20">
        <ns0:f>'Dados originais'!I5</ns0:f>
        <ns0:v>2878.77</ns0:v>
      </ns0:c>
      <ns0:c r="J20" s="20">
        <ns0:f>'Dados originais'!J5</ns0:f>
        <ns0:v>2959.38</ns0:v>
      </ns0:c>
      <ns0:c r="K20" s="20">
        <ns0:f>'Dados originais'!K5</ns0:f>
        <ns0:v>3042.24</ns0:v>
      </ns0:c>
      <ns0:c r="L20" s="20">
        <ns0:f>'Dados originais'!L5</ns0:f>
        <ns0:v>3127.43</ns0:v>
      </ns0:c>
      <ns0:c r="M20" s="20">
        <ns0:f>'Dados originais'!M5</ns0:f>
        <ns0:v>3214.99</ns0:v>
      </ns0:c>
      <ns0:c r="N20" s="20">
        <ns0:f>'Dados originais'!N5</ns0:f>
        <ns0:v>3305.01</ns0:v>
      </ns0:c>
      <ns0:c r="O20" s="20">
        <ns0:f>'Dados originais'!O5</ns0:f>
        <ns0:v>3397.55</ns0:v>
      </ns0:c>
      <ns0:c r="P20" s="20">
        <ns0:f>'Dados originais'!P5</ns0:f>
        <ns0:v>3492.69</ns0:v>
      </ns0:c>
      <ns0:c r="Q20" s="20">
        <ns0:f>'Dados originais'!Q5</ns0:f>
        <ns0:v>3590.48</ns0:v>
      </ns0:c>
      <ns0:c r="R20" s="20">
        <ns0:f>'Dados originais'!R5</ns0:f>
        <ns0:v>3691.01</ns0:v>
      </ns0:c>
    </ns0:row>
    <ns0:row r="21" ht="26" customHeight="1">
      <ns0:c r="B21" s="3" t="inlineStr">
        <ns0:is>
          <ns0:t>III</ns0:t>
        </ns0:is>
      </ns0:c>
      <ns0:c r="C21" s="14" t="str">
        <ns0:f> "+"&amp;TEXT('Parâmetros'!D21,"0.00")&amp;IF('Parâmetros'!C21="valor_fixo"," R$ / ","% / ")&amp;'Parâmetros'!E21</ns0:f>
        <ns0:v>+15.00% / II</ns0:v>
      </ns0:c>
      <ns0:c r="D21" s="4">
        <ns0:f>'Dados originais'!D6</ns0:f>
        <ns0:v>2883.63</ns0:v>
      </ns0:c>
      <ns0:c r="E21" s="4">
        <ns0:f>'Dados originais'!E6</ns0:f>
        <ns0:v>2964.37</ns0:v>
      </ns0:c>
      <ns0:c r="F21" s="4">
        <ns0:f>'Dados originais'!F6</ns0:f>
        <ns0:v>3047.38</ns0:v>
      </ns0:c>
      <ns0:c r="G21" s="4">
        <ns0:f>'Dados originais'!G6</ns0:f>
        <ns0:v>3132.7</ns0:v>
      </ns0:c>
      <ns0:c r="H21" s="4">
        <ns0:f>'Dados originais'!H6</ns0:f>
        <ns0:v>3220.42</ns0:v>
      </ns0:c>
      <ns0:c r="I21" s="4">
        <ns0:f>'Dados originais'!I6</ns0:f>
        <ns0:v>3310.59</ns0:v>
      </ns0:c>
      <ns0:c r="J21" s="4">
        <ns0:f>'Dados originais'!J6</ns0:f>
        <ns0:v>3403.29</ns0:v>
      </ns0:c>
      <ns0:c r="K21" s="4">
        <ns0:f>'Dados originais'!K6</ns0:f>
        <ns0:v>3498.58</ns0:v>
      </ns0:c>
      <ns0:c r="L21" s="4">
        <ns0:f>'Dados originais'!L6</ns0:f>
        <ns0:v>3596.54</ns0:v>
      </ns0:c>
      <ns0:c r="M21" s="4">
        <ns0:f>'Dados originais'!M6</ns0:f>
        <ns0:v>3697.24</ns0:v>
      </ns0:c>
      <ns0:c r="N21" s="4">
        <ns0:f>'Dados originais'!N6</ns0:f>
        <ns0:v>3800.77</ns0:v>
      </ns0:c>
      <ns0:c r="O21" s="4">
        <ns0:f>'Dados originais'!O6</ns0:f>
        <ns0:v>3907.19</ns0:v>
      </ns0:c>
      <ns0:c r="P21" s="4">
        <ns0:f>'Dados originais'!P6</ns0:f>
        <ns0:v>4016.59</ns0:v>
      </ns0:c>
      <ns0:c r="Q21" s="4">
        <ns0:f>'Dados originais'!Q6</ns0:f>
        <ns0:v>4129.05</ns0:v>
      </ns0:c>
      <ns0:c r="R21" s="4">
        <ns0:f>'Dados originais'!R6</ns0:f>
        <ns0:v>4244.67</ns0:v>
      </ns0:c>
    </ns0:row>
    <ns0:row r="22" ht="26" customHeight="1">
      <ns0:c r="A22" s="15" t="n"/>
      <ns0:c r="B22" s="16" t="inlineStr">
        <ns0:is>
          <ns0:t>IV</ns0:t>
        </ns0:is>
      </ns0:c>
      <ns0:c r="C22" s="17" t="str">
        <ns0:f> "+"&amp;TEXT('Parâmetros'!D22,"0.00")&amp;IF('Parâmetros'!C22="valor_fixo"," R$ / ","% / ")&amp;'Parâmetros'!E22</ns0:f>
        <ns0:v>+15.00% / III</ns0:v>
      </ns0:c>
      <ns0:c r="D22" s="21">
        <ns0:f>'Dados originais'!D7</ns0:f>
        <ns0:v>3316.18</ns0:v>
      </ns0:c>
      <ns0:c r="E22" s="21">
        <ns0:f>'Dados originais'!E7</ns0:f>
        <ns0:v>3409.03</ns0:v>
      </ns0:c>
      <ns0:c r="F22" s="21">
        <ns0:f>'Dados originais'!F7</ns0:f>
        <ns0:v>3504.48</ns0:v>
      </ns0:c>
      <ns0:c r="G22" s="21">
        <ns0:f>'Dados originais'!G7</ns0:f>
        <ns0:v>3602.61</ns0:v>
      </ns0:c>
      <ns0:c r="H22" s="21">
        <ns0:f>'Dados originais'!H7</ns0:f>
        <ns0:v>3703.48</ns0:v>
      </ns0:c>
      <ns0:c r="I22" s="21">
        <ns0:f>'Dados originais'!I7</ns0:f>
        <ns0:v>3807.18</ns0:v>
      </ns0:c>
      <ns0:c r="J22" s="21">
        <ns0:f>'Dados originais'!J7</ns0:f>
        <ns0:v>3913.78</ns0:v>
      </ns0:c>
      <ns0:c r="K22" s="21">
        <ns0:f>'Dados originais'!K7</ns0:f>
        <ns0:v>4023.37</ns0:v>
      </ns0:c>
      <ns0:c r="L22" s="21">
        <ns0:f>'Dados originais'!L7</ns0:f>
        <ns0:v>4136.02</ns0:v>
      </ns0:c>
      <ns0:c r="M22" s="21">
        <ns0:f>'Dados originais'!M7</ns0:f>
        <ns0:v>4251.83</ns0:v>
      </ns0:c>
      <ns0:c r="N22" s="21">
        <ns0:f>'Dados originais'!N7</ns0:f>
        <ns0:v>4370.88</ns0:v>
      </ns0:c>
      <ns0:c r="O22" s="21">
        <ns0:f>'Dados originais'!O7</ns0:f>
        <ns0:v>4493.27</ns0:v>
      </ns0:c>
      <ns0:c r="P22" s="21">
        <ns0:f>'Dados originais'!P7</ns0:f>
        <ns0:v>4619.08</ns0:v>
      </ns0:c>
      <ns0:c r="Q22" s="21">
        <ns0:f>'Dados originais'!Q7</ns0:f>
        <ns0:v>4748.41</ns0:v>
      </ns0:c>
      <ns0:c r="R22" s="21">
        <ns0:f>'Dados originais'!R7</ns0:f>
        <ns0:v>4881.37</ns0:v>
      </ns0:c>
    </ns0:row>
    <ns0:row r="25" ht="28" customHeight="1">
      <ns0:c r="A25" s="22" t="inlineStr">
        <ns0:is>
          <ns0:t>• TABELA DE VENCIMENTOS — REFERÊNCIA Cenário didático: base inicial +5% •</ns0:t>
        </ns0:is>
      </ns0:c>
      <ns0:c r="B25" s="22" t="n"/>
      <ns0:c r="C25" s="22" t="n"/>
      <ns0:c r="D25" s="22" t="n"/>
      <ns0:c r="E25" s="22" t="n"/>
      <ns0:c r="F25" s="22" t="n"/>
      <ns0:c r="G25" s="22" t="n"/>
      <ns0:c r="H25" s="22" t="n"/>
      <ns0:c r="I25" s="22" t="n"/>
      <ns0:c r="J25" s="22" t="n"/>
      <ns0:c r="K25" s="22" t="n"/>
      <ns0:c r="L25" s="22" t="n"/>
      <ns0:c r="M25" s="22" t="n"/>
      <ns0:c r="N25" s="22" t="n"/>
      <ns0:c r="O25" s="22" t="n"/>
      <ns0:c r="P25" s="22" t="n"/>
      <ns0:c r="Q25" s="22" t="n"/>
      <ns0:c r="R25" s="22" t="n"/>
    </ns0:row>
    <ns0:row r="26" ht="24" customHeight="1">
      <ns0:c r="A26" s="23" t="inlineStr">
        <ns0:is>
          <ns0:t>AUXILIAR ADMINISTRATIVO OPERACIONAL — 40 HORAS</ns0:t>
        </ns0:is>
      </ns0:c>
      <ns0:c r="B26" s="23" t="n"/>
      <ns0:c r="C26" s="23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3" t="n"/>
      <ns0:c r="R26" s="23" t="n"/>
    </ns0:row>
    <ns0:row r="27" ht="28" customHeight="1">
      <ns0:c r="A27" s="24" t="inlineStr">
        <ns0:is>
          <ns0:t>Classes →</ns0:t>
        </ns0:is>
      </ns0:c>
      <ns0:c r="B27" s="24" t="inlineStr">
        <ns0:is>
          <ns0:t>Nível</ns0:t>
        </ns0:is>
      </ns0:c>
      <ns0:c r="C27" s="24" t="inlineStr">
        <ns0:is>
          <ns0:t>Regra vertical</ns0:t>
        </ns0:is>
      </ns0:c>
      <ns0:c r="D27" s="24" t="inlineStr">
        <ns0:is>
          <ns0:t>I</ns0:t>
        </ns0:is>
      </ns0:c>
      <ns0:c r="E27" s="24" t="inlineStr">
        <ns0:is>
          <ns0:t>II</ns0:t>
        </ns0:is>
      </ns0:c>
      <ns0:c r="F27" s="24" t="inlineStr">
        <ns0:is>
          <ns0:t>III</ns0:t>
        </ns0:is>
      </ns0:c>
      <ns0:c r="G27" s="24" t="inlineStr">
        <ns0:is>
          <ns0:t>IV</ns0:t>
        </ns0:is>
      </ns0:c>
      <ns0:c r="H27" s="24" t="inlineStr">
        <ns0:is>
          <ns0:t>V</ns0:t>
        </ns0:is>
      </ns0:c>
      <ns0:c r="I27" s="24" t="inlineStr">
        <ns0:is>
          <ns0:t>VI</ns0:t>
        </ns0:is>
      </ns0:c>
      <ns0:c r="J27" s="24" t="inlineStr">
        <ns0:is>
          <ns0:t>VII</ns0:t>
        </ns0:is>
      </ns0:c>
      <ns0:c r="K27" s="24" t="inlineStr">
        <ns0:is>
          <ns0:t>VIII</ns0:t>
        </ns0:is>
      </ns0:c>
      <ns0:c r="L27" s="24" t="inlineStr">
        <ns0:is>
          <ns0:t>IX</ns0:t>
        </ns0:is>
      </ns0:c>
      <ns0:c r="M27" s="24" t="inlineStr">
        <ns0:is>
          <ns0:t>X</ns0:t>
        </ns0:is>
      </ns0:c>
      <ns0:c r="N27" s="24" t="inlineStr">
        <ns0:is>
          <ns0:t>XI</ns0:t>
        </ns0:is>
      </ns0:c>
      <ns0:c r="O27" s="24" t="inlineStr">
        <ns0:is>
          <ns0:t>XII</ns0:t>
        </ns0:is>
      </ns0:c>
      <ns0:c r="P27" s="24" t="inlineStr">
        <ns0:is>
          <ns0:t>XIII</ns0:t>
        </ns0:is>
      </ns0:c>
      <ns0:c r="Q27" s="24" t="inlineStr">
        <ns0:is>
          <ns0:t>XIV</ns0:t>
        </ns0:is>
      </ns0:c>
      <ns0:c r="R27" s="24" t="inlineStr">
        <ns0:is>
          <ns0:t>XV</ns0:t>
        </ns0:is>
      </ns0:c>
    </ns0:row>
    <ns0:row r="28" ht="26" customHeight="1">
      <ns0:c r="A28" s="3" t="inlineStr">
        <ns0:is>
          <ns0:t>Níveis ↓</ns0:t>
        </ns0:is>
      </ns0:c>
      <ns0:c r="B28" s="3" t="inlineStr">
        <ns0:is>
          <ns0:t>I</ns0:t>
        </ns0:is>
      </ns0:c>
      <ns0:c r="C28" s="3" t="inlineStr">
        <ns0:is>
          <ns0:t>Base</ns0:t>
        </ns0:is>
      </ns0:c>
      <ns0:c r="D28" s="4">
        <ns0:f>'Parâmetros'!B13</ns0:f>
        <ns0:v>2289.46</ns0:v>
      </ns0:c>
      <ns0:c r="E28" s="4">
        <ns0:f>IF('Parâmetros'!$B$12="truncar",ROUNDDOWN(D28*(1+'Parâmetros'!C27/100),2),ROUND(D28*(1+'Parâmetros'!C27/100),2))</ns0:f>
        <ns0:v>2353.56</ns0:v>
      </ns0:c>
      <ns0:c r="F28" s="4">
        <ns0:f>IF('Parâmetros'!$B$12="truncar",ROUNDDOWN(E28*(1+'Parâmetros'!C28/100),2),ROUND(E28*(1+'Parâmetros'!C28/100),2))</ns0:f>
        <ns0:v>2419.46</ns0:v>
      </ns0:c>
      <ns0:c r="G28" s="4">
        <ns0:f>IF('Parâmetros'!$B$12="truncar",ROUNDDOWN(F28*(1+'Parâmetros'!C29/100),2),ROUND(F28*(1+'Parâmetros'!C29/100),2))</ns0:f>
        <ns0:v>2487.2</ns0:v>
      </ns0:c>
      <ns0:c r="H28" s="4">
        <ns0:f>IF('Parâmetros'!$B$12="truncar",ROUNDDOWN(G28*(1+'Parâmetros'!C30/100),2),ROUND(G28*(1+'Parâmetros'!C30/100),2))</ns0:f>
        <ns0:v>2556.84</ns0:v>
      </ns0:c>
      <ns0:c r="I28" s="4">
        <ns0:f>IF('Parâmetros'!$B$12="truncar",ROUNDDOWN(H28*(1+'Parâmetros'!C31/100),2),ROUND(H28*(1+'Parâmetros'!C31/100),2))</ns0:f>
        <ns0:v>2628.43</ns0:v>
      </ns0:c>
      <ns0:c r="J28" s="4">
        <ns0:f>IF('Parâmetros'!$B$12="truncar",ROUNDDOWN(I28*(1+'Parâmetros'!C32/100),2),ROUND(I28*(1+'Parâmetros'!C32/100),2))</ns0:f>
        <ns0:v>2702.03</ns0:v>
      </ns0:c>
      <ns0:c r="K28" s="4">
        <ns0:f>IF('Parâmetros'!$B$12="truncar",ROUNDDOWN(J28*(1+'Parâmetros'!C33/100),2),ROUND(J28*(1+'Parâmetros'!C33/100),2))</ns0:f>
        <ns0:v>2777.69</ns0:v>
      </ns0:c>
      <ns0:c r="L28" s="4">
        <ns0:f>IF('Parâmetros'!$B$12="truncar",ROUNDDOWN(K28*(1+'Parâmetros'!C34/100),2),ROUND(K28*(1+'Parâmetros'!C34/100),2))</ns0:f>
        <ns0:v>2855.47</ns0:v>
      </ns0:c>
      <ns0:c r="M28" s="4">
        <ns0:f>IF('Parâmetros'!$B$12="truncar",ROUNDDOWN(L28*(1+'Parâmetros'!C35/100),2),ROUND(L28*(1+'Parâmetros'!C35/100),2))</ns0:f>
        <ns0:v>2935.42</ns0:v>
      </ns0:c>
      <ns0:c r="N28" s="4">
        <ns0:f>IF('Parâmetros'!$B$12="truncar",ROUNDDOWN(M28*(1+'Parâmetros'!C36/100),2),ROUND(M28*(1+'Parâmetros'!C36/100),2))</ns0:f>
        <ns0:v>3017.61</ns0:v>
      </ns0:c>
      <ns0:c r="O28" s="4">
        <ns0:f>IF('Parâmetros'!$B$12="truncar",ROUNDDOWN(N28*(1+'Parâmetros'!C37/100),2),ROUND(N28*(1+'Parâmetros'!C37/100),2))</ns0:f>
        <ns0:v>3102.1</ns0:v>
      </ns0:c>
      <ns0:c r="P28" s="4">
        <ns0:f>IF('Parâmetros'!$B$12="truncar",ROUNDDOWN(O28*(1+'Parâmetros'!C38/100),2),ROUND(O28*(1+'Parâmetros'!C38/100),2))</ns0:f>
        <ns0:v>3188.96</ns0:v>
      </ns0:c>
      <ns0:c r="Q28" s="4">
        <ns0:f>IF('Parâmetros'!$B$12="truncar",ROUNDDOWN(P28*(1+'Parâmetros'!C39/100),2),ROUND(P28*(1+'Parâmetros'!C39/100),2))</ns0:f>
        <ns0:v>3278.25</ns0:v>
      </ns0:c>
      <ns0:c r="R28" s="4">
        <ns0:f>IF('Parâmetros'!$B$12="truncar",ROUNDDOWN(Q28*(1+'Parâmetros'!C40/100),2),ROUND(Q28*(1+'Parâmetros'!C40/100),2))</ns0:f>
        <ns0:v>3370.04</ns0:v>
      </ns0:c>
    </ns0:row>
    <ns0:row r="29" ht="26" customHeight="1">
      <ns0:c r="B29" s="25" t="inlineStr">
        <ns0:is>
          <ns0:t>II</ns0:t>
        </ns0:is>
      </ns0:c>
      <ns0:c r="C29" s="26" t="str">
        <ns0:f> "+"&amp;TEXT('Parâmetros'!D20,"0.00")&amp;IF('Parâmetros'!C20="valor_fixo"," R$ / ","% / ")&amp;'Parâmetros'!E20</ns0:f>
        <ns0:v>+15.00% / I</ns0:v>
      </ns0:c>
      <ns0:c r="D29" s="27">
        <ns0:f>IF('Parâmetros'!$B$12="truncar",ROUNDDOWN(IF('Parâmetros'!C20="valor_fixo",SUMIF('Parâmetros'!$A$19:$A$19,'Parâmetros'!E20,$D$28:$D$28)+'Parâmetros'!D20,SUMIF('Parâmetros'!$A$19:$A$19,'Parâmetros'!E20,$D$28:$D$28)*(1+'Parâmetros'!D20/100)),2),ROUND(IF('Parâmetros'!C20="valor_fixo",SUMIF('Parâmetros'!$A$19:$A$19,'Parâmetros'!E20,$D$28:$D$28)+'Parâmetros'!D20,SUMIF('Parâmetros'!$A$19:$A$19,'Parâmetros'!E20,$D$28:$D$28)*(1+'Parâmetros'!D20/100)),2))</ns0:f>
        <ns0:v>2632.88</ns0:v>
      </ns0:c>
      <ns0:c r="E29" s="27">
        <ns0:f>IF('Parâmetros'!$B$12="truncar",ROUNDDOWN(D29*(1+'Parâmetros'!C27/100),2),ROUND(D29*(1+'Parâmetros'!C27/100),2))</ns0:f>
        <ns0:v>2706.6</ns0:v>
      </ns0:c>
      <ns0:c r="F29" s="27">
        <ns0:f>IF('Parâmetros'!$B$12="truncar",ROUNDDOWN(E29*(1+'Parâmetros'!C28/100),2),ROUND(E29*(1+'Parâmetros'!C28/100),2))</ns0:f>
        <ns0:v>2782.38</ns0:v>
      </ns0:c>
      <ns0:c r="G29" s="27">
        <ns0:f>IF('Parâmetros'!$B$12="truncar",ROUNDDOWN(F29*(1+'Parâmetros'!C29/100),2),ROUND(F29*(1+'Parâmetros'!C29/100),2))</ns0:f>
        <ns0:v>2860.29</ns0:v>
      </ns0:c>
      <ns0:c r="H29" s="27">
        <ns0:f>IF('Parâmetros'!$B$12="truncar",ROUNDDOWN(G29*(1+'Parâmetros'!C30/100),2),ROUND(G29*(1+'Parâmetros'!C30/100),2))</ns0:f>
        <ns0:v>2940.38</ns0:v>
      </ns0:c>
      <ns0:c r="I29" s="27">
        <ns0:f>IF('Parâmetros'!$B$12="truncar",ROUNDDOWN(H29*(1+'Parâmetros'!C31/100),2),ROUND(H29*(1+'Parâmetros'!C31/100),2))</ns0:f>
        <ns0:v>3022.71</ns0:v>
      </ns0:c>
      <ns0:c r="J29" s="27">
        <ns0:f>IF('Parâmetros'!$B$12="truncar",ROUNDDOWN(I29*(1+'Parâmetros'!C32/100),2),ROUND(I29*(1+'Parâmetros'!C32/100),2))</ns0:f>
        <ns0:v>3107.35</ns0:v>
      </ns0:c>
      <ns0:c r="K29" s="27">
        <ns0:f>IF('Parâmetros'!$B$12="truncar",ROUNDDOWN(J29*(1+'Parâmetros'!C33/100),2),ROUND(J29*(1+'Parâmetros'!C33/100),2))</ns0:f>
        <ns0:v>3194.36</ns0:v>
      </ns0:c>
      <ns0:c r="L29" s="27">
        <ns0:f>IF('Parâmetros'!$B$12="truncar",ROUNDDOWN(K29*(1+'Parâmetros'!C34/100),2),ROUND(K29*(1+'Parâmetros'!C34/100),2))</ns0:f>
        <ns0:v>3283.8</ns0:v>
      </ns0:c>
      <ns0:c r="M29" s="27">
        <ns0:f>IF('Parâmetros'!$B$12="truncar",ROUNDDOWN(L29*(1+'Parâmetros'!C35/100),2),ROUND(L29*(1+'Parâmetros'!C35/100),2))</ns0:f>
        <ns0:v>3375.75</ns0:v>
      </ns0:c>
      <ns0:c r="N29" s="27">
        <ns0:f>IF('Parâmetros'!$B$12="truncar",ROUNDDOWN(M29*(1+'Parâmetros'!C36/100),2),ROUND(M29*(1+'Parâmetros'!C36/100),2))</ns0:f>
        <ns0:v>3470.27</ns0:v>
      </ns0:c>
      <ns0:c r="O29" s="27">
        <ns0:f>IF('Parâmetros'!$B$12="truncar",ROUNDDOWN(N29*(1+'Parâmetros'!C37/100),2),ROUND(N29*(1+'Parâmetros'!C37/100),2))</ns0:f>
        <ns0:v>3567.44</ns0:v>
      </ns0:c>
      <ns0:c r="P29" s="27">
        <ns0:f>IF('Parâmetros'!$B$12="truncar",ROUNDDOWN(O29*(1+'Parâmetros'!C38/100),2),ROUND(O29*(1+'Parâmetros'!C38/100),2))</ns0:f>
        <ns0:v>3667.33</ns0:v>
      </ns0:c>
      <ns0:c r="Q29" s="27">
        <ns0:f>IF('Parâmetros'!$B$12="truncar",ROUNDDOWN(P29*(1+'Parâmetros'!C39/100),2),ROUND(P29*(1+'Parâmetros'!C39/100),2))</ns0:f>
        <ns0:v>3770.02</ns0:v>
      </ns0:c>
      <ns0:c r="R29" s="27">
        <ns0:f>IF('Parâmetros'!$B$12="truncar",ROUNDDOWN(Q29*(1+'Parâmetros'!C40/100),2),ROUND(Q29*(1+'Parâmetros'!C40/100),2))</ns0:f>
        <ns0:v>3875.58</ns0:v>
      </ns0:c>
    </ns0:row>
    <ns0:row r="30" ht="26" customHeight="1">
      <ns0:c r="B30" s="3" t="inlineStr">
        <ns0:is>
          <ns0:t>III</ns0:t>
        </ns0:is>
      </ns0:c>
      <ns0:c r="C30" s="14" t="str">
        <ns0:f> "+"&amp;TEXT('Parâmetros'!D21,"0.00")&amp;IF('Parâmetros'!C21="valor_fixo"," R$ / ","% / ")&amp;'Parâmetros'!E21</ns0:f>
        <ns0:v>+15.00% / II</ns0:v>
      </ns0:c>
      <ns0:c r="D30" s="4">
        <ns0:f>IF('Parâmetros'!$B$12="truncar",ROUNDDOWN(IF('Parâmetros'!C21="valor_fixo",SUMIF('Parâmetros'!$A$19:$A$20,'Parâmetros'!E21,$D$28:$D$29)+'Parâmetros'!D21,SUMIF('Parâmetros'!$A$19:$A$20,'Parâmetros'!E21,$D$28:$D$29)*(1+'Parâmetros'!D21/100)),2),ROUND(IF('Parâmetros'!C21="valor_fixo",SUMIF('Parâmetros'!$A$19:$A$20,'Parâmetros'!E21,$D$28:$D$29)+'Parâmetros'!D21,SUMIF('Parâmetros'!$A$19:$A$20,'Parâmetros'!E21,$D$28:$D$29)*(1+'Parâmetros'!D21/100)),2))</ns0:f>
        <ns0:v>3027.81</ns0:v>
      </ns0:c>
      <ns0:c r="E30" s="4">
        <ns0:f>IF('Parâmetros'!$B$12="truncar",ROUNDDOWN(D30*(1+'Parâmetros'!C27/100),2),ROUND(D30*(1+'Parâmetros'!C27/100),2))</ns0:f>
        <ns0:v>3112.59</ns0:v>
      </ns0:c>
      <ns0:c r="F30" s="4">
        <ns0:f>IF('Parâmetros'!$B$12="truncar",ROUNDDOWN(E30*(1+'Parâmetros'!C28/100),2),ROUND(E30*(1+'Parâmetros'!C28/100),2))</ns0:f>
        <ns0:v>3199.74</ns0:v>
      </ns0:c>
      <ns0:c r="G30" s="4">
        <ns0:f>IF('Parâmetros'!$B$12="truncar",ROUNDDOWN(F30*(1+'Parâmetros'!C29/100),2),ROUND(F30*(1+'Parâmetros'!C29/100),2))</ns0:f>
        <ns0:v>3289.33</ns0:v>
      </ns0:c>
      <ns0:c r="H30" s="4">
        <ns0:f>IF('Parâmetros'!$B$12="truncar",ROUNDDOWN(G30*(1+'Parâmetros'!C30/100),2),ROUND(G30*(1+'Parâmetros'!C30/100),2))</ns0:f>
        <ns0:v>3381.43</ns0:v>
      </ns0:c>
      <ns0:c r="I30" s="4">
        <ns0:f>IF('Parâmetros'!$B$12="truncar",ROUNDDOWN(H30*(1+'Parâmetros'!C31/100),2),ROUND(H30*(1+'Parâmetros'!C31/100),2))</ns0:f>
        <ns0:v>3476.11</ns0:v>
      </ns0:c>
      <ns0:c r="J30" s="4">
        <ns0:f>IF('Parâmetros'!$B$12="truncar",ROUNDDOWN(I30*(1+'Parâmetros'!C32/100),2),ROUND(I30*(1+'Parâmetros'!C32/100),2))</ns0:f>
        <ns0:v>3573.44</ns0:v>
      </ns0:c>
      <ns0:c r="K30" s="4">
        <ns0:f>IF('Parâmetros'!$B$12="truncar",ROUNDDOWN(J30*(1+'Parâmetros'!C33/100),2),ROUND(J30*(1+'Parâmetros'!C33/100),2))</ns0:f>
        <ns0:v>3673.5</ns0:v>
      </ns0:c>
      <ns0:c r="L30" s="4">
        <ns0:f>IF('Parâmetros'!$B$12="truncar",ROUNDDOWN(K30*(1+'Parâmetros'!C34/100),2),ROUND(K30*(1+'Parâmetros'!C34/100),2))</ns0:f>
        <ns0:v>3776.36</ns0:v>
      </ns0:c>
      <ns0:c r="M30" s="4">
        <ns0:f>IF('Parâmetros'!$B$12="truncar",ROUNDDOWN(L30*(1+'Parâmetros'!C35/100),2),ROUND(L30*(1+'Parâmetros'!C35/100),2))</ns0:f>
        <ns0:v>3882.1</ns0:v>
      </ns0:c>
      <ns0:c r="N30" s="4">
        <ns0:f>IF('Parâmetros'!$B$12="truncar",ROUNDDOWN(M30*(1+'Parâmetros'!C36/100),2),ROUND(M30*(1+'Parâmetros'!C36/100),2))</ns0:f>
        <ns0:v>3990.8</ns0:v>
      </ns0:c>
      <ns0:c r="O30" s="4">
        <ns0:f>IF('Parâmetros'!$B$12="truncar",ROUNDDOWN(N30*(1+'Parâmetros'!C37/100),2),ROUND(N30*(1+'Parâmetros'!C37/100),2))</ns0:f>
        <ns0:v>4102.54</ns0:v>
      </ns0:c>
      <ns0:c r="P30" s="4">
        <ns0:f>IF('Parâmetros'!$B$12="truncar",ROUNDDOWN(O30*(1+'Parâmetros'!C38/100),2),ROUND(O30*(1+'Parâmetros'!C38/100),2))</ns0:f>
        <ns0:v>4217.41</ns0:v>
      </ns0:c>
      <ns0:c r="Q30" s="4">
        <ns0:f>IF('Parâmetros'!$B$12="truncar",ROUNDDOWN(P30*(1+'Parâmetros'!C39/100),2),ROUND(P30*(1+'Parâmetros'!C39/100),2))</ns0:f>
        <ns0:v>4335.5</ns0:v>
      </ns0:c>
      <ns0:c r="R30" s="4">
        <ns0:f>IF('Parâmetros'!$B$12="truncar",ROUNDDOWN(Q30*(1+'Parâmetros'!C40/100),2),ROUND(Q30*(1+'Parâmetros'!C40/100),2))</ns0:f>
        <ns0:v>4456.89</ns0:v>
      </ns0:c>
    </ns0:row>
    <ns0:row r="31" ht="26" customHeight="1">
      <ns0:c r="A31" s="28" t="n"/>
      <ns0:c r="B31" s="29" t="inlineStr">
        <ns0:is>
          <ns0:t>IV</ns0:t>
        </ns0:is>
      </ns0:c>
      <ns0:c r="C31" s="30" t="str">
        <ns0:f> "+"&amp;TEXT('Parâmetros'!D22,"0.00")&amp;IF('Parâmetros'!C22="valor_fixo"," R$ / ","% / ")&amp;'Parâmetros'!E22</ns0:f>
        <ns0:v>+15.00% / III</ns0:v>
      </ns0:c>
      <ns0:c r="D31" s="31">
        <ns0:f>IF('Parâmetros'!$B$12="truncar",ROUNDDOWN(IF('Parâmetros'!C22="valor_fixo",SUMIF('Parâmetros'!$A$19:$A$21,'Parâmetros'!E22,$D$28:$D$30)+'Parâmetros'!D22,SUMIF('Parâmetros'!$A$19:$A$21,'Parâmetros'!E22,$D$28:$D$30)*(1+'Parâmetros'!D22/100)),2),ROUND(IF('Parâmetros'!C22="valor_fixo",SUMIF('Parâmetros'!$A$19:$A$21,'Parâmetros'!E22,$D$28:$D$30)+'Parâmetros'!D22,SUMIF('Parâmetros'!$A$19:$A$21,'Parâmetros'!E22,$D$28:$D$30)*(1+'Parâmetros'!D22/100)),2))</ns0:f>
        <ns0:v>3481.98</ns0:v>
      </ns0:c>
      <ns0:c r="E31" s="31">
        <ns0:f>IF('Parâmetros'!$B$12="truncar",ROUNDDOWN(D31*(1+'Parâmetros'!C27/100),2),ROUND(D31*(1+'Parâmetros'!C27/100),2))</ns0:f>
        <ns0:v>3579.48</ns0:v>
      </ns0:c>
      <ns0:c r="F31" s="31">
        <ns0:f>IF('Parâmetros'!$B$12="truncar",ROUNDDOWN(E31*(1+'Parâmetros'!C28/100),2),ROUND(E31*(1+'Parâmetros'!C28/100),2))</ns0:f>
        <ns0:v>3679.71</ns0:v>
      </ns0:c>
      <ns0:c r="G31" s="31">
        <ns0:f>IF('Parâmetros'!$B$12="truncar",ROUNDDOWN(F31*(1+'Parâmetros'!C29/100),2),ROUND(F31*(1+'Parâmetros'!C29/100),2))</ns0:f>
        <ns0:v>3782.74</ns0:v>
      </ns0:c>
      <ns0:c r="H31" s="31">
        <ns0:f>IF('Parâmetros'!$B$12="truncar",ROUNDDOWN(G31*(1+'Parâmetros'!C30/100),2),ROUND(G31*(1+'Parâmetros'!C30/100),2))</ns0:f>
        <ns0:v>3888.66</ns0:v>
      </ns0:c>
      <ns0:c r="I31" s="31">
        <ns0:f>IF('Parâmetros'!$B$12="truncar",ROUNDDOWN(H31*(1+'Parâmetros'!C31/100),2),ROUND(H31*(1+'Parâmetros'!C31/100),2))</ns0:f>
        <ns0:v>3997.54</ns0:v>
      </ns0:c>
      <ns0:c r="J31" s="31">
        <ns0:f>IF('Parâmetros'!$B$12="truncar",ROUNDDOWN(I31*(1+'Parâmetros'!C32/100),2),ROUND(I31*(1+'Parâmetros'!C32/100),2))</ns0:f>
        <ns0:v>4109.47</ns0:v>
      </ns0:c>
      <ns0:c r="K31" s="31">
        <ns0:f>IF('Parâmetros'!$B$12="truncar",ROUNDDOWN(J31*(1+'Parâmetros'!C33/100),2),ROUND(J31*(1+'Parâmetros'!C33/100),2))</ns0:f>
        <ns0:v>4224.54</ns0:v>
      </ns0:c>
      <ns0:c r="L31" s="31">
        <ns0:f>IF('Parâmetros'!$B$12="truncar",ROUNDDOWN(K31*(1+'Parâmetros'!C34/100),2),ROUND(K31*(1+'Parâmetros'!C34/100),2))</ns0:f>
        <ns0:v>4342.83</ns0:v>
      </ns0:c>
      <ns0:c r="M31" s="31">
        <ns0:f>IF('Parâmetros'!$B$12="truncar",ROUNDDOWN(L31*(1+'Parâmetros'!C35/100),2),ROUND(L31*(1+'Parâmetros'!C35/100),2))</ns0:f>
        <ns0:v>4464.43</ns0:v>
      </ns0:c>
      <ns0:c r="N31" s="31">
        <ns0:f>IF('Parâmetros'!$B$12="truncar",ROUNDDOWN(M31*(1+'Parâmetros'!C36/100),2),ROUND(M31*(1+'Parâmetros'!C36/100),2))</ns0:f>
        <ns0:v>4589.43</ns0:v>
      </ns0:c>
      <ns0:c r="O31" s="31">
        <ns0:f>IF('Parâmetros'!$B$12="truncar",ROUNDDOWN(N31*(1+'Parâmetros'!C37/100),2),ROUND(N31*(1+'Parâmetros'!C37/100),2))</ns0:f>
        <ns0:v>4717.93</ns0:v>
      </ns0:c>
      <ns0:c r="P31" s="31">
        <ns0:f>IF('Parâmetros'!$B$12="truncar",ROUNDDOWN(O31*(1+'Parâmetros'!C38/100),2),ROUND(O31*(1+'Parâmetros'!C38/100),2))</ns0:f>
        <ns0:v>4850.03</ns0:v>
      </ns0:c>
      <ns0:c r="Q31" s="31">
        <ns0:f>IF('Parâmetros'!$B$12="truncar",ROUNDDOWN(P31*(1+'Parâmetros'!C39/100),2),ROUND(P31*(1+'Parâmetros'!C39/100),2))</ns0:f>
        <ns0:v>4985.83</ns0:v>
      </ns0:c>
      <ns0:c r="R31" s="31">
        <ns0:f>IF('Parâmetros'!$B$12="truncar",ROUNDDOWN(Q31*(1+'Parâmetros'!C40/100),2),ROUND(Q31*(1+'Parâmetros'!C40/100),2))</ns0:f>
        <ns0:v>5125.43</ns0:v>
      </ns0:c>
    </ns0:row>
    <ns0:row r="34" ht="35" customHeight="1">
      <ns0:c r="A34" s="2" t="str">
        <ns0:f>"Neste bloco: "&amp;SUMPRODUCT(--(D19:R22&lt;D28:R31))&amp;" vencimentos abaixo da referência de carreira; "&amp;COUNTIF(D19:R22,"&lt;"&amp;$D$4)&amp;" abaixo da base inicial (em vermelho)."</ns0:f>
        <ns0:v>Neste bloco: 60 vencimentos abaixo da referência de carreira; 2 abaixo da base inicial (em vermelho).</ns0:v>
      </ns0:c>
      <ns0:c r="B34" s="2" t="n"/>
      <ns0:c r="C34" s="2" t="n"/>
      <ns0:c r="D34" s="2" t="n"/>
      <ns0:c r="E34" s="2" t="n"/>
      <ns0:c r="F34" s="2" t="n"/>
      <ns0:c r="G34" s="2" t="n"/>
      <ns0:c r="H34" s="2" t="n"/>
      <ns0:c r="I34" s="2" t="n"/>
      <ns0:c r="J34" s="2" t="n"/>
      <ns0:c r="K34" s="2" t="n"/>
      <ns0:c r="L34" s="2" t="n"/>
      <ns0:c r="M34" s="2" t="n"/>
      <ns0:c r="N34" s="2" t="n"/>
      <ns0:c r="O34" s="2" t="n"/>
      <ns0:c r="P34" s="2" t="n"/>
      <ns0:c r="Q34" s="2" t="n"/>
      <ns0:c r="R34" s="2" t="n"/>
    </ns0:row>
    <ns0:row r="36" ht="28" customHeight="1">
      <ns0:c r="A36" s="5" t="inlineStr">
        <ns0:is>
          <ns0:t>NÃO CONFORMIDADES EM RELAÇÃO À REFERÊNCIA</ns0:t>
        </ns0:is>
      </ns0:c>
      <ns0:c r="B36" s="5" t="n"/>
      <ns0:c r="C36" s="5" t="n"/>
      <ns0:c r="D36" s="5" t="n"/>
      <ns0:c r="E36" s="5" t="n"/>
      <ns0:c r="F36" s="5" t="n"/>
      <ns0:c r="G36" s="5" t="n"/>
      <ns0:c r="H36" s="5" t="n"/>
      <ns0:c r="I36" s="5" t="n"/>
      <ns0:c r="J36" s="5" t="n"/>
      <ns0:c r="K36" s="5" t="n"/>
      <ns0:c r="L36" s="5" t="n"/>
      <ns0:c r="M36" s="5" t="n"/>
      <ns0:c r="N36" s="5" t="n"/>
      <ns0:c r="O36" s="5" t="n"/>
      <ns0:c r="P36" s="5" t="n"/>
      <ns0:c r="Q36" s="5" t="n"/>
      <ns0:c r="R36" s="5" t="n"/>
    </ns0:row>
    <ns0:row r="37" ht="24" customHeight="1">
      <ns0:c r="A37" s="6" t="inlineStr">
        <ns0:is>
          <ns0:t>AUXILIAR ADMINISTRATIVO OPERACIONAL — 40 HORAS</ns0:t>
        </ns0:is>
      </ns0:c>
      <ns0:c r="B37" s="6" t="n"/>
      <ns0:c r="C37" s="6" t="n"/>
      <ns0:c r="D37" s="6" t="n"/>
      <ns0:c r="E37" s="6" t="n"/>
      <ns0:c r="F37" s="6" t="n"/>
      <ns0:c r="G37" s="6" t="n"/>
      <ns0:c r="H37" s="6" t="n"/>
      <ns0:c r="I37" s="6" t="n"/>
      <ns0:c r="J37" s="6" t="n"/>
      <ns0:c r="K37" s="6" t="n"/>
      <ns0:c r="L37" s="6" t="n"/>
      <ns0:c r="M37" s="6" t="n"/>
      <ns0:c r="N37" s="6" t="n"/>
      <ns0:c r="O37" s="6" t="n"/>
      <ns0:c r="P37" s="6" t="n"/>
      <ns0:c r="Q37" s="6" t="n"/>
      <ns0:c r="R37" s="6" t="n"/>
    </ns0:row>
    <ns0:row r="38" ht="28" customHeight="1">
      <ns0:c r="A38" s="7" t="inlineStr">
        <ns0:is>
          <ns0:t>Classes →</ns0:t>
        </ns0:is>
      </ns0:c>
      <ns0:c r="B38" s="7" t="inlineStr">
        <ns0:is>
          <ns0:t>Nível</ns0:t>
        </ns0:is>
      </ns0:c>
      <ns0:c r="C38" s="7" t="inlineStr">
        <ns0:is>
          <ns0:t>Regra vertical</ns0:t>
        </ns0:is>
      </ns0:c>
      <ns0:c r="D38" s="7" t="inlineStr">
        <ns0:is>
          <ns0:t>I</ns0:t>
        </ns0:is>
      </ns0:c>
      <ns0:c r="E38" s="7" t="inlineStr">
        <ns0:is>
          <ns0:t>II</ns0:t>
        </ns0:is>
      </ns0:c>
      <ns0:c r="F38" s="7" t="inlineStr">
        <ns0:is>
          <ns0:t>III</ns0:t>
        </ns0:is>
      </ns0:c>
      <ns0:c r="G38" s="7" t="inlineStr">
        <ns0:is>
          <ns0:t>IV</ns0:t>
        </ns0:is>
      </ns0:c>
      <ns0:c r="H38" s="7" t="inlineStr">
        <ns0:is>
          <ns0:t>V</ns0:t>
        </ns0:is>
      </ns0:c>
      <ns0:c r="I38" s="7" t="inlineStr">
        <ns0:is>
          <ns0:t>VI</ns0:t>
        </ns0:is>
      </ns0:c>
      <ns0:c r="J38" s="7" t="inlineStr">
        <ns0:is>
          <ns0:t>VII</ns0:t>
        </ns0:is>
      </ns0:c>
      <ns0:c r="K38" s="7" t="inlineStr">
        <ns0:is>
          <ns0:t>VIII</ns0:t>
        </ns0:is>
      </ns0:c>
      <ns0:c r="L38" s="7" t="inlineStr">
        <ns0:is>
          <ns0:t>IX</ns0:t>
        </ns0:is>
      </ns0:c>
      <ns0:c r="M38" s="7" t="inlineStr">
        <ns0:is>
          <ns0:t>X</ns0:t>
        </ns0:is>
      </ns0:c>
      <ns0:c r="N38" s="7" t="inlineStr">
        <ns0:is>
          <ns0:t>XI</ns0:t>
        </ns0:is>
      </ns0:c>
      <ns0:c r="O38" s="7" t="inlineStr">
        <ns0:is>
          <ns0:t>XII</ns0:t>
        </ns0:is>
      </ns0:c>
      <ns0:c r="P38" s="7" t="inlineStr">
        <ns0:is>
          <ns0:t>XIII</ns0:t>
        </ns0:is>
      </ns0:c>
      <ns0:c r="Q38" s="7" t="inlineStr">
        <ns0:is>
          <ns0:t>XIV</ns0:t>
        </ns0:is>
      </ns0:c>
      <ns0:c r="R38" s="7" t="inlineStr">
        <ns0:is>
          <ns0:t>XV</ns0:t>
        </ns0:is>
      </ns0:c>
    </ns0:row>
    <ns0:row r="39" ht="26" customHeight="1">
      <ns0:c r="A39" s="3" t="inlineStr">
        <ns0:is>
          <ns0:t>Níveis ↓</ns0:t>
        </ns0:is>
      </ns0:c>
      <ns0:c r="B39" s="3" t="inlineStr">
        <ns0:is>
          <ns0:t>I</ns0:t>
        </ns0:is>
      </ns0:c>
      <ns0:c r="C39" s="3" t="inlineStr">
        <ns0:is>
          <ns0:t>Base</ns0:t>
        </ns0:is>
      </ns0:c>
      <ns0:c r="D39" s="4">
        <ns0:f>'Dados originais'!D4</ns0:f>
        <ns0:v>2180.44</ns0:v>
      </ns0:c>
      <ns0:c r="E39" s="4">
        <ns0:f>'Dados originais'!E4</ns0:f>
        <ns0:v>2241.49</ns0:v>
      </ns0:c>
      <ns0:c r="F39" s="4">
        <ns0:f>'Dados originais'!F4</ns0:f>
        <ns0:v>2304.25</ns0:v>
      </ns0:c>
      <ns0:c r="G39" s="4">
        <ns0:f>'Dados originais'!G4</ns0:f>
        <ns0:v>2368.77</ns0:v>
      </ns0:c>
      <ns0:c r="H39" s="4">
        <ns0:f>'Dados originais'!H4</ns0:f>
        <ns0:v>2435.1</ns0:v>
      </ns0:c>
      <ns0:c r="I39" s="4">
        <ns0:f>'Dados originais'!I4</ns0:f>
        <ns0:v>2503.28</ns0:v>
      </ns0:c>
      <ns0:c r="J39" s="4">
        <ns0:f>'Dados originais'!J4</ns0:f>
        <ns0:v>2573.37</ns0:v>
      </ns0:c>
      <ns0:c r="K39" s="4">
        <ns0:f>'Dados originais'!K4</ns0:f>
        <ns0:v>2645.43</ns0:v>
      </ns0:c>
      <ns0:c r="L39" s="4">
        <ns0:f>'Dados originais'!L4</ns0:f>
        <ns0:v>2719.5</ns0:v>
      </ns0:c>
      <ns0:c r="M39" s="4">
        <ns0:f>'Dados originais'!M4</ns0:f>
        <ns0:v>2795.65</ns0:v>
      </ns0:c>
      <ns0:c r="N39" s="4">
        <ns0:f>'Dados originais'!N4</ns0:f>
        <ns0:v>2873.93</ns0:v>
      </ns0:c>
      <ns0:c r="O39" s="4">
        <ns0:f>'Dados originais'!O4</ns0:f>
        <ns0:v>2954.39</ns0:v>
      </ns0:c>
      <ns0:c r="P39" s="4">
        <ns0:f>'Dados originais'!P4</ns0:f>
        <ns0:v>3037.12</ns0:v>
      </ns0:c>
      <ns0:c r="Q39" s="4">
        <ns0:f>'Dados originais'!Q4</ns0:f>
        <ns0:v>3122.16</ns0:v>
      </ns0:c>
      <ns0:c r="R39" s="4">
        <ns0:f>'Dados originais'!R4</ns0:f>
        <ns0:v>3209.58</ns0:v>
      </ns0:c>
    </ns0:row>
    <ns0:row r="40" ht="26" customHeight="1">
      <ns0:c r="B40" s="10" t="inlineStr">
        <ns0:is>
          <ns0:t>II</ns0:t>
        </ns0:is>
      </ns0:c>
      <ns0:c r="C40" s="11" t="str">
        <ns0:f> "+"&amp;TEXT('Parâmetros'!D20,"0.00")&amp;IF('Parâmetros'!C20="valor_fixo"," R$ / ","% / ")&amp;'Parâmetros'!E20</ns0:f>
        <ns0:v>+15.00% / I</ns0:v>
      </ns0:c>
      <ns0:c r="D40" s="20">
        <ns0:f>'Dados originais'!D5</ns0:f>
        <ns0:v>2507.51</ns0:v>
      </ns0:c>
      <ns0:c r="E40" s="20">
        <ns0:f>'Dados originais'!E5</ns0:f>
        <ns0:v>2577.72</ns0:v>
      </ns0:c>
      <ns0:c r="F40" s="20">
        <ns0:f>'Dados originais'!F5</ns0:f>
        <ns0:v>2649.89</ns0:v>
      </ns0:c>
      <ns0:c r="G40" s="20">
        <ns0:f>'Dados originais'!G5</ns0:f>
        <ns0:v>2724.09</ns0:v>
      </ns0:c>
      <ns0:c r="H40" s="20">
        <ns0:f>'Dados originais'!H5</ns0:f>
        <ns0:v>2800.36</ns0:v>
      </ns0:c>
      <ns0:c r="I40" s="20">
        <ns0:f>'Dados originais'!I5</ns0:f>
        <ns0:v>2878.77</ns0:v>
      </ns0:c>
      <ns0:c r="J40" s="20">
        <ns0:f>'Dados originais'!J5</ns0:f>
        <ns0:v>2959.38</ns0:v>
      </ns0:c>
      <ns0:c r="K40" s="20">
        <ns0:f>'Dados originais'!K5</ns0:f>
        <ns0:v>3042.24</ns0:v>
      </ns0:c>
      <ns0:c r="L40" s="20">
        <ns0:f>'Dados originais'!L5</ns0:f>
        <ns0:v>3127.43</ns0:v>
      </ns0:c>
      <ns0:c r="M40" s="20">
        <ns0:f>'Dados originais'!M5</ns0:f>
        <ns0:v>3214.99</ns0:v>
      </ns0:c>
      <ns0:c r="N40" s="20">
        <ns0:f>'Dados originais'!N5</ns0:f>
        <ns0:v>3305.01</ns0:v>
      </ns0:c>
      <ns0:c r="O40" s="20">
        <ns0:f>'Dados originais'!O5</ns0:f>
        <ns0:v>3397.55</ns0:v>
      </ns0:c>
      <ns0:c r="P40" s="20">
        <ns0:f>'Dados originais'!P5</ns0:f>
        <ns0:v>3492.69</ns0:v>
      </ns0:c>
      <ns0:c r="Q40" s="20">
        <ns0:f>'Dados originais'!Q5</ns0:f>
        <ns0:v>3590.48</ns0:v>
      </ns0:c>
      <ns0:c r="R40" s="20">
        <ns0:f>'Dados originais'!R5</ns0:f>
        <ns0:v>3691.01</ns0:v>
      </ns0:c>
    </ns0:row>
    <ns0:row r="41" ht="26" customHeight="1">
      <ns0:c r="B41" s="3" t="inlineStr">
        <ns0:is>
          <ns0:t>III</ns0:t>
        </ns0:is>
      </ns0:c>
      <ns0:c r="C41" s="14" t="str">
        <ns0:f> "+"&amp;TEXT('Parâmetros'!D21,"0.00")&amp;IF('Parâmetros'!C21="valor_fixo"," R$ / ","% / ")&amp;'Parâmetros'!E21</ns0:f>
        <ns0:v>+15.00% / II</ns0:v>
      </ns0:c>
      <ns0:c r="D41" s="4">
        <ns0:f>'Dados originais'!D6</ns0:f>
        <ns0:v>2883.63</ns0:v>
      </ns0:c>
      <ns0:c r="E41" s="4">
        <ns0:f>'Dados originais'!E6</ns0:f>
        <ns0:v>2964.37</ns0:v>
      </ns0:c>
      <ns0:c r="F41" s="4">
        <ns0:f>'Dados originais'!F6</ns0:f>
        <ns0:v>3047.38</ns0:v>
      </ns0:c>
      <ns0:c r="G41" s="4">
        <ns0:f>'Dados originais'!G6</ns0:f>
        <ns0:v>3132.7</ns0:v>
      </ns0:c>
      <ns0:c r="H41" s="4">
        <ns0:f>'Dados originais'!H6</ns0:f>
        <ns0:v>3220.42</ns0:v>
      </ns0:c>
      <ns0:c r="I41" s="4">
        <ns0:f>'Dados originais'!I6</ns0:f>
        <ns0:v>3310.59</ns0:v>
      </ns0:c>
      <ns0:c r="J41" s="4">
        <ns0:f>'Dados originais'!J6</ns0:f>
        <ns0:v>3403.29</ns0:v>
      </ns0:c>
      <ns0:c r="K41" s="4">
        <ns0:f>'Dados originais'!K6</ns0:f>
        <ns0:v>3498.58</ns0:v>
      </ns0:c>
      <ns0:c r="L41" s="4">
        <ns0:f>'Dados originais'!L6</ns0:f>
        <ns0:v>3596.54</ns0:v>
      </ns0:c>
      <ns0:c r="M41" s="4">
        <ns0:f>'Dados originais'!M6</ns0:f>
        <ns0:v>3697.24</ns0:v>
      </ns0:c>
      <ns0:c r="N41" s="4">
        <ns0:f>'Dados originais'!N6</ns0:f>
        <ns0:v>3800.77</ns0:v>
      </ns0:c>
      <ns0:c r="O41" s="4">
        <ns0:f>'Dados originais'!O6</ns0:f>
        <ns0:v>3907.19</ns0:v>
      </ns0:c>
      <ns0:c r="P41" s="4">
        <ns0:f>'Dados originais'!P6</ns0:f>
        <ns0:v>4016.59</ns0:v>
      </ns0:c>
      <ns0:c r="Q41" s="4">
        <ns0:f>'Dados originais'!Q6</ns0:f>
        <ns0:v>4129.05</ns0:v>
      </ns0:c>
      <ns0:c r="R41" s="4">
        <ns0:f>'Dados originais'!R6</ns0:f>
        <ns0:v>4244.67</ns0:v>
      </ns0:c>
    </ns0:row>
    <ns0:row r="42" ht="26" customHeight="1">
      <ns0:c r="A42" s="15" t="n"/>
      <ns0:c r="B42" s="16" t="inlineStr">
        <ns0:is>
          <ns0:t>IV</ns0:t>
        </ns0:is>
      </ns0:c>
      <ns0:c r="C42" s="17" t="str">
        <ns0:f> "+"&amp;TEXT('Parâmetros'!D22,"0.00")&amp;IF('Parâmetros'!C22="valor_fixo"," R$ / ","% / ")&amp;'Parâmetros'!E22</ns0:f>
        <ns0:v>+15.00% / III</ns0:v>
      </ns0:c>
      <ns0:c r="D42" s="21">
        <ns0:f>'Dados originais'!D7</ns0:f>
        <ns0:v>3316.18</ns0:v>
      </ns0:c>
      <ns0:c r="E42" s="21">
        <ns0:f>'Dados originais'!E7</ns0:f>
        <ns0:v>3409.03</ns0:v>
      </ns0:c>
      <ns0:c r="F42" s="21">
        <ns0:f>'Dados originais'!F7</ns0:f>
        <ns0:v>3504.48</ns0:v>
      </ns0:c>
      <ns0:c r="G42" s="21">
        <ns0:f>'Dados originais'!G7</ns0:f>
        <ns0:v>3602.61</ns0:v>
      </ns0:c>
      <ns0:c r="H42" s="21">
        <ns0:f>'Dados originais'!H7</ns0:f>
        <ns0:v>3703.48</ns0:v>
      </ns0:c>
      <ns0:c r="I42" s="21">
        <ns0:f>'Dados originais'!I7</ns0:f>
        <ns0:v>3807.18</ns0:v>
      </ns0:c>
      <ns0:c r="J42" s="21">
        <ns0:f>'Dados originais'!J7</ns0:f>
        <ns0:v>3913.78</ns0:v>
      </ns0:c>
      <ns0:c r="K42" s="21">
        <ns0:f>'Dados originais'!K7</ns0:f>
        <ns0:v>4023.37</ns0:v>
      </ns0:c>
      <ns0:c r="L42" s="21">
        <ns0:f>'Dados originais'!L7</ns0:f>
        <ns0:v>4136.02</ns0:v>
      </ns0:c>
      <ns0:c r="M42" s="21">
        <ns0:f>'Dados originais'!M7</ns0:f>
        <ns0:v>4251.83</ns0:v>
      </ns0:c>
      <ns0:c r="N42" s="21">
        <ns0:f>'Dados originais'!N7</ns0:f>
        <ns0:v>4370.88</ns0:v>
      </ns0:c>
      <ns0:c r="O42" s="21">
        <ns0:f>'Dados originais'!O7</ns0:f>
        <ns0:v>4493.27</ns0:v>
      </ns0:c>
      <ns0:c r="P42" s="21">
        <ns0:f>'Dados originais'!P7</ns0:f>
        <ns0:v>4619.08</ns0:v>
      </ns0:c>
      <ns0:c r="Q42" s="21">
        <ns0:f>'Dados originais'!Q7</ns0:f>
        <ns0:v>4748.41</ns0:v>
      </ns0:c>
      <ns0:c r="R42" s="21">
        <ns0:f>'Dados originais'!R7</ns0:f>
        <ns0:v>4881.37</ns0:v>
      </ns0:c>
    </ns0:row>
    <ns0:row r="45" ht="28" customHeight="1">
      <ns0:c r="A45" s="32" t="inlineStr">
        <ns0:is>
          <ns0:t>• DEFASAGEM SALARIAL MENSAL •</ns0:t>
        </ns0:is>
      </ns0:c>
      <ns0:c r="B45" s="32" t="n"/>
      <ns0:c r="C45" s="32" t="n"/>
      <ns0:c r="D45" s="32" t="n"/>
      <ns0:c r="E45" s="32" t="n"/>
      <ns0:c r="F45" s="32" t="n"/>
      <ns0:c r="G45" s="32" t="n"/>
      <ns0:c r="H45" s="32" t="n"/>
      <ns0:c r="I45" s="32" t="n"/>
      <ns0:c r="J45" s="32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32" t="n"/>
    </ns0:row>
    <ns0:row r="46" ht="24" customHeight="1">
      <ns0:c r="A46" s="33" t="inlineStr">
        <ns0:is>
          <ns0:t>AUXILIAR ADMINISTRATIVO OPERACIONAL — 40 HORAS</ns0:t>
        </ns0:is>
      </ns0:c>
      <ns0:c r="B46" s="33" t="n"/>
      <ns0:c r="C46" s="33" t="n"/>
      <ns0:c r="D46" s="33" t="n"/>
      <ns0:c r="E46" s="33" t="n"/>
      <ns0:c r="F46" s="33" t="n"/>
      <ns0:c r="G46" s="33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33" t="n"/>
      <ns0:c r="Q46" s="33" t="n"/>
      <ns0:c r="R46" s="33" t="n"/>
    </ns0:row>
    <ns0:row r="47" ht="28" customHeight="1">
      <ns0:c r="A47" s="34" t="inlineStr">
        <ns0:is>
          <ns0:t>Classes →</ns0:t>
        </ns0:is>
      </ns0:c>
      <ns0:c r="B47" s="34" t="inlineStr">
        <ns0:is>
          <ns0:t>Nível</ns0:t>
        </ns0:is>
      </ns0:c>
      <ns0:c r="C47" s="34" t="inlineStr">
        <ns0:is>
          <ns0:t>Regra vertical</ns0:t>
        </ns0:is>
      </ns0:c>
      <ns0:c r="D47" s="34" t="inlineStr">
        <ns0:is>
          <ns0:t>I</ns0:t>
        </ns0:is>
      </ns0:c>
      <ns0:c r="E47" s="34" t="inlineStr">
        <ns0:is>
          <ns0:t>II</ns0:t>
        </ns0:is>
      </ns0:c>
      <ns0:c r="F47" s="34" t="inlineStr">
        <ns0:is>
          <ns0:t>III</ns0:t>
        </ns0:is>
      </ns0:c>
      <ns0:c r="G47" s="34" t="inlineStr">
        <ns0:is>
          <ns0:t>IV</ns0:t>
        </ns0:is>
      </ns0:c>
      <ns0:c r="H47" s="34" t="inlineStr">
        <ns0:is>
          <ns0:t>V</ns0:t>
        </ns0:is>
      </ns0:c>
      <ns0:c r="I47" s="34" t="inlineStr">
        <ns0:is>
          <ns0:t>VI</ns0:t>
        </ns0:is>
      </ns0:c>
      <ns0:c r="J47" s="34" t="inlineStr">
        <ns0:is>
          <ns0:t>VII</ns0:t>
        </ns0:is>
      </ns0:c>
      <ns0:c r="K47" s="34" t="inlineStr">
        <ns0:is>
          <ns0:t>VIII</ns0:t>
        </ns0:is>
      </ns0:c>
      <ns0:c r="L47" s="34" t="inlineStr">
        <ns0:is>
          <ns0:t>IX</ns0:t>
        </ns0:is>
      </ns0:c>
      <ns0:c r="M47" s="34" t="inlineStr">
        <ns0:is>
          <ns0:t>X</ns0:t>
        </ns0:is>
      </ns0:c>
      <ns0:c r="N47" s="34" t="inlineStr">
        <ns0:is>
          <ns0:t>XI</ns0:t>
        </ns0:is>
      </ns0:c>
      <ns0:c r="O47" s="34" t="inlineStr">
        <ns0:is>
          <ns0:t>XII</ns0:t>
        </ns0:is>
      </ns0:c>
      <ns0:c r="P47" s="34" t="inlineStr">
        <ns0:is>
          <ns0:t>XIII</ns0:t>
        </ns0:is>
      </ns0:c>
      <ns0:c r="Q47" s="34" t="inlineStr">
        <ns0:is>
          <ns0:t>XIV</ns0:t>
        </ns0:is>
      </ns0:c>
      <ns0:c r="R47" s="34" t="inlineStr">
        <ns0:is>
          <ns0:t>XV</ns0:t>
        </ns0:is>
      </ns0:c>
    </ns0:row>
    <ns0:row r="48" ht="26" customHeight="1">
      <ns0:c r="A48" s="3" t="inlineStr">
        <ns0:is>
          <ns0:t>Níveis ↓</ns0:t>
        </ns0:is>
      </ns0:c>
      <ns0:c r="B48" s="3" t="inlineStr">
        <ns0:is>
          <ns0:t>I</ns0:t>
        </ns0:is>
      </ns0:c>
      <ns0:c r="C48" s="3" t="inlineStr">
        <ns0:is>
          <ns0:t>Base</ns0:t>
        </ns0:is>
      </ns0:c>
      <ns0:c r="D48" s="4">
        <ns0:f>D19-D28</ns0:f>
        <ns0:v>-109.02</ns0:v>
      </ns0:c>
      <ns0:c r="E48" s="4">
        <ns0:f>E19-E28</ns0:f>
        <ns0:v>-112.07</ns0:v>
      </ns0:c>
      <ns0:c r="F48" s="4">
        <ns0:f>F19-F28</ns0:f>
        <ns0:v>-115.21</ns0:v>
      </ns0:c>
      <ns0:c r="G48" s="4">
        <ns0:f>G19-G28</ns0:f>
        <ns0:v>-118.43</ns0:v>
      </ns0:c>
      <ns0:c r="H48" s="4">
        <ns0:f>H19-H28</ns0:f>
        <ns0:v>-121.74</ns0:v>
      </ns0:c>
      <ns0:c r="I48" s="4">
        <ns0:f>I19-I28</ns0:f>
        <ns0:v>-125.15</ns0:v>
      </ns0:c>
      <ns0:c r="J48" s="4">
        <ns0:f>J19-J28</ns0:f>
        <ns0:v>-128.66</ns0:v>
      </ns0:c>
      <ns0:c r="K48" s="4">
        <ns0:f>K19-K28</ns0:f>
        <ns0:v>-132.26</ns0:v>
      </ns0:c>
      <ns0:c r="L48" s="4">
        <ns0:f>L19-L28</ns0:f>
        <ns0:v>-135.97</ns0:v>
      </ns0:c>
      <ns0:c r="M48" s="4">
        <ns0:f>M19-M28</ns0:f>
        <ns0:v>-139.77</ns0:v>
      </ns0:c>
      <ns0:c r="N48" s="4">
        <ns0:f>N19-N28</ns0:f>
        <ns0:v>-143.68</ns0:v>
      </ns0:c>
      <ns0:c r="O48" s="4">
        <ns0:f>O19-O28</ns0:f>
        <ns0:v>-147.71</ns0:v>
      </ns0:c>
      <ns0:c r="P48" s="4">
        <ns0:f>P19-P28</ns0:f>
        <ns0:v>-151.84</ns0:v>
      </ns0:c>
      <ns0:c r="Q48" s="4">
        <ns0:f>Q19-Q28</ns0:f>
        <ns0:v>-156.09</ns0:v>
      </ns0:c>
      <ns0:c r="R48" s="4">
        <ns0:f>R19-R28</ns0:f>
        <ns0:v>-160.46</ns0:v>
      </ns0:c>
    </ns0:row>
    <ns0:row r="49" ht="26" customHeight="1">
      <ns0:c r="B49" s="35" t="inlineStr">
        <ns0:is>
          <ns0:t>II</ns0:t>
        </ns0:is>
      </ns0:c>
      <ns0:c r="C49" s="36" t="str">
        <ns0:f> "+"&amp;TEXT('Parâmetros'!D20,"0.00")&amp;IF('Parâmetros'!C20="valor_fixo"," R$ / ","% / ")&amp;'Parâmetros'!E20</ns0:f>
        <ns0:v>+15.00% / I</ns0:v>
      </ns0:c>
      <ns0:c r="D49" s="37">
        <ns0:f>D20-D29</ns0:f>
        <ns0:v>-125.37</ns0:v>
      </ns0:c>
      <ns0:c r="E49" s="37">
        <ns0:f>E20-E29</ns0:f>
        <ns0:v>-128.88</ns0:v>
      </ns0:c>
      <ns0:c r="F49" s="37">
        <ns0:f>F20-F29</ns0:f>
        <ns0:v>-132.49</ns0:v>
      </ns0:c>
      <ns0:c r="G49" s="37">
        <ns0:f>G20-G29</ns0:f>
        <ns0:v>-136.2</ns0:v>
      </ns0:c>
      <ns0:c r="H49" s="37">
        <ns0:f>H20-H29</ns0:f>
        <ns0:v>-140.02</ns0:v>
      </ns0:c>
      <ns0:c r="I49" s="37">
        <ns0:f>I20-I29</ns0:f>
        <ns0:v>-143.94</ns0:v>
      </ns0:c>
      <ns0:c r="J49" s="37">
        <ns0:f>J20-J29</ns0:f>
        <ns0:v>-147.97</ns0:v>
      </ns0:c>
      <ns0:c r="K49" s="37">
        <ns0:f>K20-K29</ns0:f>
        <ns0:v>-152.12</ns0:v>
      </ns0:c>
      <ns0:c r="L49" s="37">
        <ns0:f>L20-L29</ns0:f>
        <ns0:v>-156.37</ns0:v>
      </ns0:c>
      <ns0:c r="M49" s="37">
        <ns0:f>M20-M29</ns0:f>
        <ns0:v>-160.76</ns0:v>
      </ns0:c>
      <ns0:c r="N49" s="37">
        <ns0:f>N20-N29</ns0:f>
        <ns0:v>-165.26</ns0:v>
      </ns0:c>
      <ns0:c r="O49" s="37">
        <ns0:f>O20-O29</ns0:f>
        <ns0:v>-169.89</ns0:v>
      </ns0:c>
      <ns0:c r="P49" s="37">
        <ns0:f>P20-P29</ns0:f>
        <ns0:v>-174.64</ns0:v>
      </ns0:c>
      <ns0:c r="Q49" s="37">
        <ns0:f>Q20-Q29</ns0:f>
        <ns0:v>-179.54</ns0:v>
      </ns0:c>
      <ns0:c r="R49" s="37">
        <ns0:f>R20-R29</ns0:f>
        <ns0:v>-184.57</ns0:v>
      </ns0:c>
    </ns0:row>
    <ns0:row r="50" ht="26" customHeight="1">
      <ns0:c r="B50" s="3" t="inlineStr">
        <ns0:is>
          <ns0:t>III</ns0:t>
        </ns0:is>
      </ns0:c>
      <ns0:c r="C50" s="14" t="str">
        <ns0:f> "+"&amp;TEXT('Parâmetros'!D21,"0.00")&amp;IF('Parâmetros'!C21="valor_fixo"," R$ / ","% / ")&amp;'Parâmetros'!E21</ns0:f>
        <ns0:v>+15.00% / II</ns0:v>
      </ns0:c>
      <ns0:c r="D50" s="4">
        <ns0:f>D21-D30</ns0:f>
        <ns0:v>-144.18</ns0:v>
      </ns0:c>
      <ns0:c r="E50" s="4">
        <ns0:f>E21-E30</ns0:f>
        <ns0:v>-148.22</ns0:v>
      </ns0:c>
      <ns0:c r="F50" s="4">
        <ns0:f>F21-F30</ns0:f>
        <ns0:v>-152.36</ns0:v>
      </ns0:c>
      <ns0:c r="G50" s="4">
        <ns0:f>G21-G30</ns0:f>
        <ns0:v>-156.63</ns0:v>
      </ns0:c>
      <ns0:c r="H50" s="4">
        <ns0:f>H21-H30</ns0:f>
        <ns0:v>-161.01</ns0:v>
      </ns0:c>
      <ns0:c r="I50" s="4">
        <ns0:f>I21-I30</ns0:f>
        <ns0:v>-165.52</ns0:v>
      </ns0:c>
      <ns0:c r="J50" s="4">
        <ns0:f>J21-J30</ns0:f>
        <ns0:v>-170.15</ns0:v>
      </ns0:c>
      <ns0:c r="K50" s="4">
        <ns0:f>K21-K30</ns0:f>
        <ns0:v>-174.92</ns0:v>
      </ns0:c>
      <ns0:c r="L50" s="4">
        <ns0:f>L21-L30</ns0:f>
        <ns0:v>-179.82</ns0:v>
      </ns0:c>
      <ns0:c r="M50" s="4">
        <ns0:f>M21-M30</ns0:f>
        <ns0:v>-184.86</ns0:v>
      </ns0:c>
      <ns0:c r="N50" s="4">
        <ns0:f>N21-N30</ns0:f>
        <ns0:v>-190.03</ns0:v>
      </ns0:c>
      <ns0:c r="O50" s="4">
        <ns0:f>O21-O30</ns0:f>
        <ns0:v>-195.35</ns0:v>
      </ns0:c>
      <ns0:c r="P50" s="4">
        <ns0:f>P21-P30</ns0:f>
        <ns0:v>-200.82</ns0:v>
      </ns0:c>
      <ns0:c r="Q50" s="4">
        <ns0:f>Q21-Q30</ns0:f>
        <ns0:v>-206.45</ns0:v>
      </ns0:c>
      <ns0:c r="R50" s="4">
        <ns0:f>R21-R30</ns0:f>
        <ns0:v>-212.22</ns0:v>
      </ns0:c>
    </ns0:row>
    <ns0:row r="51" ht="26" customHeight="1">
      <ns0:c r="A51" s="38" t="n"/>
      <ns0:c r="B51" s="39" t="inlineStr">
        <ns0:is>
          <ns0:t>IV</ns0:t>
        </ns0:is>
      </ns0:c>
      <ns0:c r="C51" s="40" t="str">
        <ns0:f> "+"&amp;TEXT('Parâmetros'!D22,"0.00")&amp;IF('Parâmetros'!C22="valor_fixo"," R$ / ","% / ")&amp;'Parâmetros'!E22</ns0:f>
        <ns0:v>+15.00% / III</ns0:v>
      </ns0:c>
      <ns0:c r="D51" s="41">
        <ns0:f>D22-D31</ns0:f>
        <ns0:v>-165.8</ns0:v>
      </ns0:c>
      <ns0:c r="E51" s="41">
        <ns0:f>E22-E31</ns0:f>
        <ns0:v>-170.45</ns0:v>
      </ns0:c>
      <ns0:c r="F51" s="41">
        <ns0:f>F22-F31</ns0:f>
        <ns0:v>-175.23</ns0:v>
      </ns0:c>
      <ns0:c r="G51" s="41">
        <ns0:f>G22-G31</ns0:f>
        <ns0:v>-180.13</ns0:v>
      </ns0:c>
      <ns0:c r="H51" s="41">
        <ns0:f>H22-H31</ns0:f>
        <ns0:v>-185.18</ns0:v>
      </ns0:c>
      <ns0:c r="I51" s="41">
        <ns0:f>I22-I31</ns0:f>
        <ns0:v>-190.36</ns0:v>
      </ns0:c>
      <ns0:c r="J51" s="41">
        <ns0:f>J22-J31</ns0:f>
        <ns0:v>-195.69</ns0:v>
      </ns0:c>
      <ns0:c r="K51" s="41">
        <ns0:f>K22-K31</ns0:f>
        <ns0:v>-201.17</ns0:v>
      </ns0:c>
      <ns0:c r="L51" s="41">
        <ns0:f>L22-L31</ns0:f>
        <ns0:v>-206.81</ns0:v>
      </ns0:c>
      <ns0:c r="M51" s="41">
        <ns0:f>M22-M31</ns0:f>
        <ns0:v>-212.6</ns0:v>
      </ns0:c>
      <ns0:c r="N51" s="41">
        <ns0:f>N22-N31</ns0:f>
        <ns0:v>-218.55</ns0:v>
      </ns0:c>
      <ns0:c r="O51" s="41">
        <ns0:f>O22-O31</ns0:f>
        <ns0:v>-224.66</ns0:v>
      </ns0:c>
      <ns0:c r="P51" s="41">
        <ns0:f>P22-P31</ns0:f>
        <ns0:v>-230.95</ns0:v>
      </ns0:c>
      <ns0:c r="Q51" s="41">
        <ns0:f>Q22-Q31</ns0:f>
        <ns0:v>-237.42</ns0:v>
      </ns0:c>
      <ns0:c r="R51" s="41">
        <ns0:f>R22-R31</ns0:f>
        <ns0:v>-244.06</ns0:v>
      </ns0:c>
    </ns0:row>
    <ns0:row r="54" ht="30" customHeight="1">
      <ns0:c r="A54" s="2" t="inlineStr">
        <ns0:is>
          <ns0:t>Defasagem = referência ÷ atual − 1. Diferença mensal = atual − referência; negativa indica valor abaixo da referência.</ns0:t>
        </ns0:is>
      </ns0:c>
      <ns0:c r="B54" s="2" t="n"/>
      <ns0:c r="C54" s="2" t="n"/>
      <ns0:c r="D54" s="2" t="n"/>
      <ns0:c r="E54" s="2" t="n"/>
      <ns0:c r="F54" s="2" t="n"/>
      <ns0:c r="G54" s="2" t="n"/>
      <ns0:c r="H54" s="2" t="n"/>
      <ns0:c r="I54" s="2" t="n"/>
      <ns0:c r="J54" s="2" t="n"/>
      <ns0:c r="K54" s="2" t="n"/>
      <ns0:c r="L54" s="2" t="n"/>
      <ns0:c r="M54" s="2" t="n"/>
      <ns0:c r="N54" s="2" t="n"/>
      <ns0:c r="O54" s="2" t="n"/>
      <ns0:c r="P54" s="2" t="n"/>
      <ns0:c r="Q54" s="2" t="n"/>
      <ns0:c r="R54" s="2" t="n"/>
    </ns0:row>
    <ns0:row r="56" ht="30" customHeight="1">
      <ns0:c r="A56" s="42" t="inlineStr">
        <ns0:is>
          <ns0:t>DEFASAGEM SALARIAL EM RELAÇÃO À REFERÊNCIA</ns0:t>
        </ns0:is>
      </ns0:c>
      <ns0:c r="B56" s="42" t="n"/>
      <ns0:c r="C56" s="42" t="n"/>
      <ns0:c r="D56" s="42" t="n"/>
      <ns0:c r="E56" s="42" t="n"/>
      <ns0:c r="F56" s="42" t="n"/>
      <ns0:c r="G56" s="42" t="n"/>
      <ns0:c r="H56" s="42" t="n"/>
      <ns0:c r="I56" s="42" t="n"/>
      <ns0:c r="J56" s="42" t="n"/>
      <ns0:c r="K56" s="42" t="n"/>
      <ns0:c r="L56" s="42" t="n"/>
      <ns0:c r="M56" s="42" t="n"/>
      <ns0:c r="N56" s="42" t="n"/>
      <ns0:c r="O56" s="43">
        <ns0:f>D28/D19-1</ns0:f>
        <ns0:v>0.049999</ns0:v>
      </ns0:c>
      <ns0:c r="P56" s="42" t="n"/>
      <ns0:c r="Q56" s="42" t="n"/>
      <ns0:c r="R56" s="42" t="n"/>
    </ns0:row>
    <ns0:row r="57" ht="24" customHeight="1">
      <ns0:c r="A57" s="42" t="n"/>
      <ns0:c r="B57" s="42" t="n"/>
      <ns0:c r="C57" s="42" t="n"/>
      <ns0:c r="D57" s="42" t="n"/>
      <ns0:c r="E57" s="42" t="n"/>
      <ns0:c r="F57" s="42" t="n"/>
      <ns0:c r="G57" s="42" t="n"/>
      <ns0:c r="H57" s="42" t="n"/>
      <ns0:c r="I57" s="42" t="n"/>
      <ns0:c r="J57" s="42" t="n"/>
      <ns0:c r="K57" s="42" t="n"/>
      <ns0:c r="L57" s="42" t="n"/>
      <ns0:c r="M57" s="42" t="n"/>
      <ns0:c r="N57" s="42" t="n"/>
      <ns0:c r="O57" s="42" t="n"/>
      <ns0:c r="P57" s="42" t="n"/>
      <ns0:c r="Q57" s="42" t="n"/>
      <ns0:c r="R57" s="42" t="n"/>
    </ns0:row>
    <ns0:row r="61" ht="30" customHeight="1">
      <ns0:c r="A61" s="2" t="inlineStr">
        <ns0:is>
          <ns0:t>Continuação das classes/referências: XVI a XXX. Nenhuma classe foi descartada.</ns0:t>
        </ns0:is>
      </ns0:c>
      <ns0:c r="B61" s="2" t="n"/>
      <ns0:c r="C61" s="2" t="n"/>
      <ns0:c r="D61" s="2" t="n"/>
      <ns0:c r="E61" s="2" t="n"/>
      <ns0:c r="F61" s="2" t="n"/>
      <ns0:c r="G61" s="2" t="n"/>
      <ns0:c r="H61" s="2" t="n"/>
      <ns0:c r="I61" s="2" t="n"/>
      <ns0:c r="J61" s="2" t="n"/>
      <ns0:c r="K61" s="2" t="n"/>
      <ns0:c r="L61" s="2" t="n"/>
      <ns0:c r="M61" s="2" t="n"/>
      <ns0:c r="N61" s="2" t="n"/>
      <ns0:c r="O61" s="2" t="n"/>
      <ns0:c r="P61" s="2" t="n"/>
      <ns0:c r="Q61" s="2" t="n"/>
      <ns0:c r="R61" s="2" t="n"/>
    </ns0:row>
    <ns0:row r="63" ht="28" customHeight="1">
      <ns0:c r="A63" s="5" t="inlineStr">
        <ns0:is>
          <ns0:t>ESTRUTURA DE PROMOÇÃO / PROGRESSÃO</ns0:t>
        </ns0:is>
      </ns0:c>
      <ns0:c r="B63" s="5" t="n"/>
      <ns0:c r="C63" s="5" t="n"/>
      <ns0:c r="D63" s="5" t="n"/>
      <ns0:c r="E63" s="5" t="n"/>
      <ns0:c r="F63" s="5" t="n"/>
      <ns0:c r="G63" s="5" t="n"/>
      <ns0:c r="H63" s="5" t="n"/>
      <ns0:c r="I63" s="5" t="n"/>
      <ns0:c r="J63" s="5" t="n"/>
      <ns0:c r="K63" s="5" t="n"/>
      <ns0:c r="L63" s="5" t="n"/>
      <ns0:c r="M63" s="5" t="n"/>
      <ns0:c r="N63" s="5" t="n"/>
      <ns0:c r="O63" s="5" t="n"/>
      <ns0:c r="P63" s="5" t="n"/>
      <ns0:c r="Q63" s="5" t="n"/>
      <ns0:c r="R63" s="5" t="n"/>
    </ns0:row>
    <ns0:row r="64" ht="24" customHeight="1">
      <ns0:c r="A64" s="6" t="inlineStr">
        <ns0:is>
          <ns0:t>AUXILIAR ADMINISTRATIVO OPERACIONAL — 40 HORAS</ns0:t>
        </ns0:is>
      </ns0:c>
      <ns0:c r="B64" s="6" t="n"/>
      <ns0:c r="C64" s="6" t="n"/>
      <ns0:c r="D64" s="6" t="n"/>
      <ns0:c r="E64" s="6" t="n"/>
      <ns0:c r="F64" s="6" t="n"/>
      <ns0:c r="G64" s="6" t="n"/>
      <ns0:c r="H64" s="6" t="n"/>
      <ns0:c r="I64" s="6" t="n"/>
      <ns0:c r="J64" s="6" t="n"/>
      <ns0:c r="K64" s="6" t="n"/>
      <ns0:c r="L64" s="6" t="n"/>
      <ns0:c r="M64" s="6" t="n"/>
      <ns0:c r="N64" s="6" t="n"/>
      <ns0:c r="O64" s="6" t="n"/>
      <ns0:c r="P64" s="6" t="n"/>
      <ns0:c r="Q64" s="6" t="n"/>
      <ns0:c r="R64" s="6" t="n"/>
    </ns0:row>
    <ns0:row r="65" ht="28" customHeight="1">
      <ns0:c r="A65" s="7" t="inlineStr">
        <ns0:is>
          <ns0:t>Classes →</ns0:t>
        </ns0:is>
      </ns0:c>
      <ns0:c r="B65" s="7" t="inlineStr">
        <ns0:is>
          <ns0:t>Nível</ns0:t>
        </ns0:is>
      </ns0:c>
      <ns0:c r="C65" s="7" t="inlineStr">
        <ns0:is>
          <ns0:t>Regra vertical</ns0:t>
        </ns0:is>
      </ns0:c>
      <ns0:c r="D65" s="7" t="inlineStr">
        <ns0:is>
          <ns0:t>XVI</ns0:t>
        </ns0:is>
      </ns0:c>
      <ns0:c r="E65" s="7" t="inlineStr">
        <ns0:is>
          <ns0:t>XVII</ns0:t>
        </ns0:is>
      </ns0:c>
      <ns0:c r="F65" s="7" t="inlineStr">
        <ns0:is>
          <ns0:t>XVIII</ns0:t>
        </ns0:is>
      </ns0:c>
      <ns0:c r="G65" s="7" t="inlineStr">
        <ns0:is>
          <ns0:t>XIX</ns0:t>
        </ns0:is>
      </ns0:c>
      <ns0:c r="H65" s="7" t="inlineStr">
        <ns0:is>
          <ns0:t>XX</ns0:t>
        </ns0:is>
      </ns0:c>
      <ns0:c r="I65" s="7" t="inlineStr">
        <ns0:is>
          <ns0:t>XXI</ns0:t>
        </ns0:is>
      </ns0:c>
      <ns0:c r="J65" s="7" t="inlineStr">
        <ns0:is>
          <ns0:t>XXII</ns0:t>
        </ns0:is>
      </ns0:c>
      <ns0:c r="K65" s="7" t="inlineStr">
        <ns0:is>
          <ns0:t>XXIII</ns0:t>
        </ns0:is>
      </ns0:c>
      <ns0:c r="L65" s="7" t="inlineStr">
        <ns0:is>
          <ns0:t>XXIV</ns0:t>
        </ns0:is>
      </ns0:c>
      <ns0:c r="M65" s="7" t="inlineStr">
        <ns0:is>
          <ns0:t>XXV</ns0:t>
        </ns0:is>
      </ns0:c>
      <ns0:c r="N65" s="7" t="inlineStr">
        <ns0:is>
          <ns0:t>XXVI</ns0:t>
        </ns0:is>
      </ns0:c>
      <ns0:c r="O65" s="7" t="inlineStr">
        <ns0:is>
          <ns0:t>XXVII</ns0:t>
        </ns0:is>
      </ns0:c>
      <ns0:c r="P65" s="7" t="inlineStr">
        <ns0:is>
          <ns0:t>XXVIII</ns0:t>
        </ns0:is>
      </ns0:c>
      <ns0:c r="Q65" s="7" t="inlineStr">
        <ns0:is>
          <ns0:t>XXIX</ns0:t>
        </ns0:is>
      </ns0:c>
      <ns0:c r="R65" s="7" t="inlineStr">
        <ns0:is>
          <ns0:t>XXX</ns0:t>
        </ns0:is>
      </ns0:c>
    </ns0:row>
    <ns0:row r="66" ht="26" customHeight="1">
      <ns0:c r="A66" s="3" t="inlineStr">
        <ns0:is>
          <ns0:t>Níveis ↓</ns0:t>
        </ns0:is>
      </ns0:c>
      <ns0:c r="B66" s="3" t="inlineStr">
        <ns0:is>
          <ns0:t>I</ns0:t>
        </ns0:is>
      </ns0:c>
      <ns0:c r="C66" s="3" t="inlineStr">
        <ns0:is>
          <ns0:t>Base</ns0:t>
        </ns0:is>
      </ns0:c>
      <ns0:c r="D66" s="9">
        <ns0:f>'Parâmetros'!C41/100</ns0:f>
        <ns0:v>0.027999999999999997</ns0:v>
      </ns0:c>
      <ns0:c r="E66" s="9">
        <ns0:f>'Parâmetros'!C42/100</ns0:f>
        <ns0:v>0.027999999999999997</ns0:v>
      </ns0:c>
      <ns0:c r="F66" s="9">
        <ns0:f>'Parâmetros'!C43/100</ns0:f>
        <ns0:v>0.027999999999999997</ns0:v>
      </ns0:c>
      <ns0:c r="G66" s="9">
        <ns0:f>'Parâmetros'!C44/100</ns0:f>
        <ns0:v>0.027999999999999997</ns0:v>
      </ns0:c>
      <ns0:c r="H66" s="9">
        <ns0:f>'Parâmetros'!C45/100</ns0:f>
        <ns0:v>0.027999999999999997</ns0:v>
      </ns0:c>
      <ns0:c r="I66" s="9">
        <ns0:f>'Parâmetros'!C46/100</ns0:f>
        <ns0:v>0.027999999999999997</ns0:v>
      </ns0:c>
      <ns0:c r="J66" s="9">
        <ns0:f>'Parâmetros'!C47/100</ns0:f>
        <ns0:v>0.027999999999999997</ns0:v>
      </ns0:c>
      <ns0:c r="K66" s="9">
        <ns0:f>'Parâmetros'!C48/100</ns0:f>
        <ns0:v>0.027999999999999997</ns0:v>
      </ns0:c>
      <ns0:c r="L66" s="9">
        <ns0:f>'Parâmetros'!C49/100</ns0:f>
        <ns0:v>0.027999999999999997</ns0:v>
      </ns0:c>
      <ns0:c r="M66" s="9">
        <ns0:f>'Parâmetros'!C50/100</ns0:f>
        <ns0:v>0.027999999999999997</ns0:v>
      </ns0:c>
      <ns0:c r="N66" s="9">
        <ns0:f>'Parâmetros'!C51/100</ns0:f>
        <ns0:v>0.027999999999999997</ns0:v>
      </ns0:c>
      <ns0:c r="O66" s="9">
        <ns0:f>'Parâmetros'!C52/100</ns0:f>
        <ns0:v>0.027999999999999997</ns0:v>
      </ns0:c>
      <ns0:c r="P66" s="9">
        <ns0:f>'Parâmetros'!C53/100</ns0:f>
        <ns0:v>0.027999999999999997</ns0:v>
      </ns0:c>
      <ns0:c r="Q66" s="9">
        <ns0:f>'Parâmetros'!C54/100</ns0:f>
        <ns0:v>0.027999999999999997</ns0:v>
      </ns0:c>
      <ns0:c r="R66" s="9">
        <ns0:f>'Parâmetros'!C55/100</ns0:f>
        <ns0:v>0.027999999999999997</ns0:v>
      </ns0:c>
    </ns0:row>
    <ns0:row r="67" ht="26" customHeight="1">
      <ns0:c r="B67" s="10" t="inlineStr">
        <ns0:is>
          <ns0:t>II</ns0:t>
        </ns0:is>
      </ns0:c>
      <ns0:c r="C67" s="11" t="str">
        <ns0:f> "+"&amp;TEXT('Parâmetros'!D20,"0.00")&amp;IF('Parâmetros'!C20="valor_fixo"," R$ / ","% / ")&amp;'Parâmetros'!E20</ns0:f>
        <ns0:v>+15.00% / I</ns0:v>
      </ns0:c>
      <ns0:c r="D67" s="13">
        <ns0:f>'Parâmetros'!C41/100</ns0:f>
        <ns0:v>0.027999999999999997</ns0:v>
      </ns0:c>
      <ns0:c r="E67" s="13">
        <ns0:f>'Parâmetros'!C42/100</ns0:f>
        <ns0:v>0.027999999999999997</ns0:v>
      </ns0:c>
      <ns0:c r="F67" s="13">
        <ns0:f>'Parâmetros'!C43/100</ns0:f>
        <ns0:v>0.027999999999999997</ns0:v>
      </ns0:c>
      <ns0:c r="G67" s="13">
        <ns0:f>'Parâmetros'!C44/100</ns0:f>
        <ns0:v>0.027999999999999997</ns0:v>
      </ns0:c>
      <ns0:c r="H67" s="13">
        <ns0:f>'Parâmetros'!C45/100</ns0:f>
        <ns0:v>0.027999999999999997</ns0:v>
      </ns0:c>
      <ns0:c r="I67" s="13">
        <ns0:f>'Parâmetros'!C46/100</ns0:f>
        <ns0:v>0.027999999999999997</ns0:v>
      </ns0:c>
      <ns0:c r="J67" s="13">
        <ns0:f>'Parâmetros'!C47/100</ns0:f>
        <ns0:v>0.027999999999999997</ns0:v>
      </ns0:c>
      <ns0:c r="K67" s="13">
        <ns0:f>'Parâmetros'!C48/100</ns0:f>
        <ns0:v>0.027999999999999997</ns0:v>
      </ns0:c>
      <ns0:c r="L67" s="13">
        <ns0:f>'Parâmetros'!C49/100</ns0:f>
        <ns0:v>0.027999999999999997</ns0:v>
      </ns0:c>
      <ns0:c r="M67" s="13">
        <ns0:f>'Parâmetros'!C50/100</ns0:f>
        <ns0:v>0.027999999999999997</ns0:v>
      </ns0:c>
      <ns0:c r="N67" s="13">
        <ns0:f>'Parâmetros'!C51/100</ns0:f>
        <ns0:v>0.027999999999999997</ns0:v>
      </ns0:c>
      <ns0:c r="O67" s="13">
        <ns0:f>'Parâmetros'!C52/100</ns0:f>
        <ns0:v>0.027999999999999997</ns0:v>
      </ns0:c>
      <ns0:c r="P67" s="13">
        <ns0:f>'Parâmetros'!C53/100</ns0:f>
        <ns0:v>0.027999999999999997</ns0:v>
      </ns0:c>
      <ns0:c r="Q67" s="13">
        <ns0:f>'Parâmetros'!C54/100</ns0:f>
        <ns0:v>0.027999999999999997</ns0:v>
      </ns0:c>
      <ns0:c r="R67" s="13">
        <ns0:f>'Parâmetros'!C55/100</ns0:f>
        <ns0:v>0.027999999999999997</ns0:v>
      </ns0:c>
    </ns0:row>
    <ns0:row r="68" ht="26" customHeight="1">
      <ns0:c r="B68" s="3" t="inlineStr">
        <ns0:is>
          <ns0:t>III</ns0:t>
        </ns0:is>
      </ns0:c>
      <ns0:c r="C68" s="14" t="str">
        <ns0:f> "+"&amp;TEXT('Parâmetros'!D21,"0.00")&amp;IF('Parâmetros'!C21="valor_fixo"," R$ / ","% / ")&amp;'Parâmetros'!E21</ns0:f>
        <ns0:v>+15.00% / II</ns0:v>
      </ns0:c>
      <ns0:c r="D68" s="9">
        <ns0:f>'Parâmetros'!C41/100</ns0:f>
        <ns0:v>0.027999999999999997</ns0:v>
      </ns0:c>
      <ns0:c r="E68" s="9">
        <ns0:f>'Parâmetros'!C42/100</ns0:f>
        <ns0:v>0.027999999999999997</ns0:v>
      </ns0:c>
      <ns0:c r="F68" s="9">
        <ns0:f>'Parâmetros'!C43/100</ns0:f>
        <ns0:v>0.027999999999999997</ns0:v>
      </ns0:c>
      <ns0:c r="G68" s="9">
        <ns0:f>'Parâmetros'!C44/100</ns0:f>
        <ns0:v>0.027999999999999997</ns0:v>
      </ns0:c>
      <ns0:c r="H68" s="9">
        <ns0:f>'Parâmetros'!C45/100</ns0:f>
        <ns0:v>0.027999999999999997</ns0:v>
      </ns0:c>
      <ns0:c r="I68" s="9">
        <ns0:f>'Parâmetros'!C46/100</ns0:f>
        <ns0:v>0.027999999999999997</ns0:v>
      </ns0:c>
      <ns0:c r="J68" s="9">
        <ns0:f>'Parâmetros'!C47/100</ns0:f>
        <ns0:v>0.027999999999999997</ns0:v>
      </ns0:c>
      <ns0:c r="K68" s="9">
        <ns0:f>'Parâmetros'!C48/100</ns0:f>
        <ns0:v>0.027999999999999997</ns0:v>
      </ns0:c>
      <ns0:c r="L68" s="9">
        <ns0:f>'Parâmetros'!C49/100</ns0:f>
        <ns0:v>0.027999999999999997</ns0:v>
      </ns0:c>
      <ns0:c r="M68" s="9">
        <ns0:f>'Parâmetros'!C50/100</ns0:f>
        <ns0:v>0.027999999999999997</ns0:v>
      </ns0:c>
      <ns0:c r="N68" s="9">
        <ns0:f>'Parâmetros'!C51/100</ns0:f>
        <ns0:v>0.027999999999999997</ns0:v>
      </ns0:c>
      <ns0:c r="O68" s="9">
        <ns0:f>'Parâmetros'!C52/100</ns0:f>
        <ns0:v>0.027999999999999997</ns0:v>
      </ns0:c>
      <ns0:c r="P68" s="9">
        <ns0:f>'Parâmetros'!C53/100</ns0:f>
        <ns0:v>0.027999999999999997</ns0:v>
      </ns0:c>
      <ns0:c r="Q68" s="9">
        <ns0:f>'Parâmetros'!C54/100</ns0:f>
        <ns0:v>0.027999999999999997</ns0:v>
      </ns0:c>
      <ns0:c r="R68" s="9">
        <ns0:f>'Parâmetros'!C55/100</ns0:f>
        <ns0:v>0.027999999999999997</ns0:v>
      </ns0:c>
    </ns0:row>
    <ns0:row r="69" ht="26" customHeight="1">
      <ns0:c r="A69" s="15" t="n"/>
      <ns0:c r="B69" s="16" t="inlineStr">
        <ns0:is>
          <ns0:t>IV</ns0:t>
        </ns0:is>
      </ns0:c>
      <ns0:c r="C69" s="17" t="str">
        <ns0:f> "+"&amp;TEXT('Parâmetros'!D22,"0.00")&amp;IF('Parâmetros'!C22="valor_fixo"," R$ / ","% / ")&amp;'Parâmetros'!E22</ns0:f>
        <ns0:v>+15.00% / III</ns0:v>
      </ns0:c>
      <ns0:c r="D69" s="19">
        <ns0:f>'Parâmetros'!C41/100</ns0:f>
        <ns0:v>0.027999999999999997</ns0:v>
      </ns0:c>
      <ns0:c r="E69" s="19">
        <ns0:f>'Parâmetros'!C42/100</ns0:f>
        <ns0:v>0.027999999999999997</ns0:v>
      </ns0:c>
      <ns0:c r="F69" s="19">
        <ns0:f>'Parâmetros'!C43/100</ns0:f>
        <ns0:v>0.027999999999999997</ns0:v>
      </ns0:c>
      <ns0:c r="G69" s="19">
        <ns0:f>'Parâmetros'!C44/100</ns0:f>
        <ns0:v>0.027999999999999997</ns0:v>
      </ns0:c>
      <ns0:c r="H69" s="19">
        <ns0:f>'Parâmetros'!C45/100</ns0:f>
        <ns0:v>0.027999999999999997</ns0:v>
      </ns0:c>
      <ns0:c r="I69" s="19">
        <ns0:f>'Parâmetros'!C46/100</ns0:f>
        <ns0:v>0.027999999999999997</ns0:v>
      </ns0:c>
      <ns0:c r="J69" s="19">
        <ns0:f>'Parâmetros'!C47/100</ns0:f>
        <ns0:v>0.027999999999999997</ns0:v>
      </ns0:c>
      <ns0:c r="K69" s="19">
        <ns0:f>'Parâmetros'!C48/100</ns0:f>
        <ns0:v>0.027999999999999997</ns0:v>
      </ns0:c>
      <ns0:c r="L69" s="19">
        <ns0:f>'Parâmetros'!C49/100</ns0:f>
        <ns0:v>0.027999999999999997</ns0:v>
      </ns0:c>
      <ns0:c r="M69" s="19">
        <ns0:f>'Parâmetros'!C50/100</ns0:f>
        <ns0:v>0.027999999999999997</ns0:v>
      </ns0:c>
      <ns0:c r="N69" s="19">
        <ns0:f>'Parâmetros'!C51/100</ns0:f>
        <ns0:v>0.027999999999999997</ns0:v>
      </ns0:c>
      <ns0:c r="O69" s="19">
        <ns0:f>'Parâmetros'!C52/100</ns0:f>
        <ns0:v>0.027999999999999997</ns0:v>
      </ns0:c>
      <ns0:c r="P69" s="19">
        <ns0:f>'Parâmetros'!C53/100</ns0:f>
        <ns0:v>0.027999999999999997</ns0:v>
      </ns0:c>
      <ns0:c r="Q69" s="19">
        <ns0:f>'Parâmetros'!C54/100</ns0:f>
        <ns0:v>0.027999999999999997</ns0:v>
      </ns0:c>
      <ns0:c r="R69" s="19">
        <ns0:f>'Parâmetros'!C55/100</ns0:f>
        <ns0:v>0.027999999999999997</ns0:v>
      </ns0:c>
    </ns0:row>
    <ns0:row r="72" ht="28" customHeight="1">
      <ns0:c r="A72" s="5" t="inlineStr">
        <ns0:is>
          <ns0:t>• TABELA DE VENCIMENTOS 2026 •</ns0:t>
        </ns0:is>
      </ns0:c>
      <ns0:c r="B72" s="5" t="n"/>
      <ns0:c r="C72" s="5" t="n"/>
      <ns0:c r="D72" s="5" t="n"/>
      <ns0:c r="E72" s="5" t="n"/>
      <ns0:c r="F72" s="5" t="n"/>
      <ns0:c r="G72" s="5" t="n"/>
      <ns0:c r="H72" s="5" t="n"/>
      <ns0:c r="I72" s="5" t="n"/>
      <ns0:c r="J72" s="5" t="n"/>
      <ns0:c r="K72" s="5" t="n"/>
      <ns0:c r="L72" s="5" t="n"/>
      <ns0:c r="M72" s="5" t="n"/>
      <ns0:c r="N72" s="5" t="n"/>
      <ns0:c r="O72" s="5" t="n"/>
      <ns0:c r="P72" s="5" t="n"/>
      <ns0:c r="Q72" s="5" t="n"/>
      <ns0:c r="R72" s="5" t="n"/>
    </ns0:row>
    <ns0:row r="73" ht="24" customHeight="1">
      <ns0:c r="A73" s="6" t="inlineStr">
        <ns0:is>
          <ns0:t>AUXILIAR ADMINISTRATIVO OPERACIONAL — 40 HORAS</ns0:t>
        </ns0:is>
      </ns0:c>
      <ns0:c r="B73" s="6" t="n"/>
      <ns0:c r="C73" s="6" t="n"/>
      <ns0:c r="D73" s="6" t="n"/>
      <ns0:c r="E73" s="6" t="n"/>
      <ns0:c r="F73" s="6" t="n"/>
      <ns0:c r="G73" s="6" t="n"/>
      <ns0:c r="H73" s="6" t="n"/>
      <ns0:c r="I73" s="6" t="n"/>
      <ns0:c r="J73" s="6" t="n"/>
      <ns0:c r="K73" s="6" t="n"/>
      <ns0:c r="L73" s="6" t="n"/>
      <ns0:c r="M73" s="6" t="n"/>
      <ns0:c r="N73" s="6" t="n"/>
      <ns0:c r="O73" s="6" t="n"/>
      <ns0:c r="P73" s="6" t="n"/>
      <ns0:c r="Q73" s="6" t="n"/>
      <ns0:c r="R73" s="6" t="n"/>
    </ns0:row>
    <ns0:row r="74" ht="28" customHeight="1">
      <ns0:c r="A74" s="7" t="inlineStr">
        <ns0:is>
          <ns0:t>Classes →</ns0:t>
        </ns0:is>
      </ns0:c>
      <ns0:c r="B74" s="7" t="inlineStr">
        <ns0:is>
          <ns0:t>Nível</ns0:t>
        </ns0:is>
      </ns0:c>
      <ns0:c r="C74" s="7" t="inlineStr">
        <ns0:is>
          <ns0:t>Regra vertical</ns0:t>
        </ns0:is>
      </ns0:c>
      <ns0:c r="D74" s="7" t="inlineStr">
        <ns0:is>
          <ns0:t>XVI</ns0:t>
        </ns0:is>
      </ns0:c>
      <ns0:c r="E74" s="7" t="inlineStr">
        <ns0:is>
          <ns0:t>XVII</ns0:t>
        </ns0:is>
      </ns0:c>
      <ns0:c r="F74" s="7" t="inlineStr">
        <ns0:is>
          <ns0:t>XVIII</ns0:t>
        </ns0:is>
      </ns0:c>
      <ns0:c r="G74" s="7" t="inlineStr">
        <ns0:is>
          <ns0:t>XIX</ns0:t>
        </ns0:is>
      </ns0:c>
      <ns0:c r="H74" s="7" t="inlineStr">
        <ns0:is>
          <ns0:t>XX</ns0:t>
        </ns0:is>
      </ns0:c>
      <ns0:c r="I74" s="7" t="inlineStr">
        <ns0:is>
          <ns0:t>XXI</ns0:t>
        </ns0:is>
      </ns0:c>
      <ns0:c r="J74" s="7" t="inlineStr">
        <ns0:is>
          <ns0:t>XXII</ns0:t>
        </ns0:is>
      </ns0:c>
      <ns0:c r="K74" s="7" t="inlineStr">
        <ns0:is>
          <ns0:t>XXIII</ns0:t>
        </ns0:is>
      </ns0:c>
      <ns0:c r="L74" s="7" t="inlineStr">
        <ns0:is>
          <ns0:t>XXIV</ns0:t>
        </ns0:is>
      </ns0:c>
      <ns0:c r="M74" s="7" t="inlineStr">
        <ns0:is>
          <ns0:t>XXV</ns0:t>
        </ns0:is>
      </ns0:c>
      <ns0:c r="N74" s="7" t="inlineStr">
        <ns0:is>
          <ns0:t>XXVI</ns0:t>
        </ns0:is>
      </ns0:c>
      <ns0:c r="O74" s="7" t="inlineStr">
        <ns0:is>
          <ns0:t>XXVII</ns0:t>
        </ns0:is>
      </ns0:c>
      <ns0:c r="P74" s="7" t="inlineStr">
        <ns0:is>
          <ns0:t>XXVIII</ns0:t>
        </ns0:is>
      </ns0:c>
      <ns0:c r="Q74" s="7" t="inlineStr">
        <ns0:is>
          <ns0:t>XXIX</ns0:t>
        </ns0:is>
      </ns0:c>
      <ns0:c r="R74" s="7" t="inlineStr">
        <ns0:is>
          <ns0:t>XXX</ns0:t>
        </ns0:is>
      </ns0:c>
    </ns0:row>
    <ns0:row r="75" ht="26" customHeight="1">
      <ns0:c r="A75" s="3" t="inlineStr">
        <ns0:is>
          <ns0:t>Níveis ↓</ns0:t>
        </ns0:is>
      </ns0:c>
      <ns0:c r="B75" s="3" t="inlineStr">
        <ns0:is>
          <ns0:t>I</ns0:t>
        </ns0:is>
      </ns0:c>
      <ns0:c r="C75" s="3" t="inlineStr">
        <ns0:is>
          <ns0:t>Base</ns0:t>
        </ns0:is>
      </ns0:c>
      <ns0:c r="D75" s="4">
        <ns0:f>'Dados originais'!S4</ns0:f>
        <ns0:v>3299.45</ns0:v>
      </ns0:c>
      <ns0:c r="E75" s="4">
        <ns0:f>'Dados originais'!T4</ns0:f>
        <ns0:v>3391.83</ns0:v>
      </ns0:c>
      <ns0:c r="F75" s="4">
        <ns0:f>'Dados originais'!U4</ns0:f>
        <ns0:v>3486.8</ns0:v>
      </ns0:c>
      <ns0:c r="G75" s="4">
        <ns0:f>'Dados originais'!V4</ns0:f>
        <ns0:v>3584.43</ns0:v>
      </ns0:c>
      <ns0:c r="H75" s="4">
        <ns0:f>'Dados originais'!W4</ns0:f>
        <ns0:v>3684.8</ns0:v>
      </ns0:c>
      <ns0:c r="I75" s="4">
        <ns0:f>'Dados originais'!X4</ns0:f>
        <ns0:v>3787.97</ns0:v>
      </ns0:c>
      <ns0:c r="J75" s="4">
        <ns0:f>'Dados originais'!Y4</ns0:f>
        <ns0:v>3894.03</ns0:v>
      </ns0:c>
      <ns0:c r="K75" s="4">
        <ns0:f>'Dados originais'!Z4</ns0:f>
        <ns0:v>4003.07</ns0:v>
      </ns0:c>
      <ns0:c r="L75" s="4">
        <ns0:f>'Dados originais'!AA4</ns0:f>
        <ns0:v>4115.15</ns0:v>
      </ns0:c>
      <ns0:c r="M75" s="4">
        <ns0:f>'Dados originais'!AB4</ns0:f>
        <ns0:v>4230.38</ns0:v>
      </ns0:c>
      <ns0:c r="N75" s="4">
        <ns0:f>'Dados originais'!AC4</ns0:f>
        <ns0:v>4348.83</ns0:v>
      </ns0:c>
      <ns0:c r="O75" s="4">
        <ns0:f>'Dados originais'!AD4</ns0:f>
        <ns0:v>4470.59</ns0:v>
      </ns0:c>
      <ns0:c r="P75" s="4">
        <ns0:f>'Dados originais'!AE4</ns0:f>
        <ns0:v>4595.77</ns0:v>
      </ns0:c>
      <ns0:c r="Q75" s="4">
        <ns0:f>'Dados originais'!AF4</ns0:f>
        <ns0:v>4724.45</ns0:v>
      </ns0:c>
      <ns0:c r="R75" s="4">
        <ns0:f>'Dados originais'!AG4</ns0:f>
        <ns0:v>4856.74</ns0:v>
      </ns0:c>
    </ns0:row>
    <ns0:row r="76" ht="26" customHeight="1">
      <ns0:c r="B76" s="10" t="inlineStr">
        <ns0:is>
          <ns0:t>II</ns0:t>
        </ns0:is>
      </ns0:c>
      <ns0:c r="C76" s="11" t="str">
        <ns0:f> "+"&amp;TEXT('Parâmetros'!D20,"0.00")&amp;IF('Parâmetros'!C20="valor_fixo"," R$ / ","% / ")&amp;'Parâmetros'!E20</ns0:f>
        <ns0:v>+15.00% / I</ns0:v>
      </ns0:c>
      <ns0:c r="D76" s="20">
        <ns0:f>'Dados originais'!S5</ns0:f>
        <ns0:v>3794.36</ns0:v>
      </ns0:c>
      <ns0:c r="E76" s="20">
        <ns0:f>'Dados originais'!T5</ns0:f>
        <ns0:v>3900.6</ns0:v>
      </ns0:c>
      <ns0:c r="F76" s="20">
        <ns0:f>'Dados originais'!U5</ns0:f>
        <ns0:v>4009.82</ns0:v>
      </ns0:c>
      <ns0:c r="G76" s="20">
        <ns0:f>'Dados originais'!V5</ns0:f>
        <ns0:v>4122.1</ns0:v>
      </ns0:c>
      <ns0:c r="H76" s="20">
        <ns0:f>'Dados originais'!W5</ns0:f>
        <ns0:v>4237.52</ns0:v>
      </ns0:c>
      <ns0:c r="I76" s="20">
        <ns0:f>'Dados originais'!X5</ns0:f>
        <ns0:v>4356.17</ns0:v>
      </ns0:c>
      <ns0:c r="J76" s="20">
        <ns0:f>'Dados originais'!Y5</ns0:f>
        <ns0:v>4478.14</ns0:v>
      </ns0:c>
      <ns0:c r="K76" s="20">
        <ns0:f>'Dados originais'!Z5</ns0:f>
        <ns0:v>4603.53</ns0:v>
      </ns0:c>
      <ns0:c r="L76" s="20">
        <ns0:f>'Dados originais'!AA5</ns0:f>
        <ns0:v>4732.43</ns0:v>
      </ns0:c>
      <ns0:c r="M76" s="20">
        <ns0:f>'Dados originais'!AB5</ns0:f>
        <ns0:v>4864.93</ns0:v>
      </ns0:c>
      <ns0:c r="N76" s="20">
        <ns0:f>'Dados originais'!AC5</ns0:f>
        <ns0:v>5001.15</ns0:v>
      </ns0:c>
      <ns0:c r="O76" s="20">
        <ns0:f>'Dados originais'!AD5</ns0:f>
        <ns0:v>5141.18</ns0:v>
      </ns0:c>
      <ns0:c r="P76" s="20">
        <ns0:f>'Dados originais'!AE5</ns0:f>
        <ns0:v>5285.14</ns0:v>
      </ns0:c>
      <ns0:c r="Q76" s="20">
        <ns0:f>'Dados originais'!AF5</ns0:f>
        <ns0:v>5433.12</ns0:v>
      </ns0:c>
      <ns0:c r="R76" s="20">
        <ns0:f>'Dados originais'!AG5</ns0:f>
        <ns0:v>5585.25</ns0:v>
      </ns0:c>
    </ns0:row>
    <ns0:row r="77" ht="26" customHeight="1">
      <ns0:c r="B77" s="3" t="inlineStr">
        <ns0:is>
          <ns0:t>III</ns0:t>
        </ns0:is>
      </ns0:c>
      <ns0:c r="C77" s="14" t="str">
        <ns0:f> "+"&amp;TEXT('Parâmetros'!D21,"0.00")&amp;IF('Parâmetros'!C21="valor_fixo"," R$ / ","% / ")&amp;'Parâmetros'!E21</ns0:f>
        <ns0:v>+15.00% / II</ns0:v>
      </ns0:c>
      <ns0:c r="D77" s="4">
        <ns0:f>'Dados originais'!S6</ns0:f>
        <ns0:v>4363.52</ns0:v>
      </ns0:c>
      <ns0:c r="E77" s="4">
        <ns0:f>'Dados originais'!T6</ns0:f>
        <ns0:v>4485.7</ns0:v>
      </ns0:c>
      <ns0:c r="F77" s="4">
        <ns0:f>'Dados originais'!U6</ns0:f>
        <ns0:v>4611.3</ns0:v>
      </ns0:c>
      <ns0:c r="G77" s="4">
        <ns0:f>'Dados originais'!V6</ns0:f>
        <ns0:v>4740.41</ns0:v>
      </ns0:c>
      <ns0:c r="H77" s="4">
        <ns0:f>'Dados originais'!W6</ns0:f>
        <ns0:v>4873.14</ns0:v>
      </ns0:c>
      <ns0:c r="I77" s="4">
        <ns0:f>'Dados originais'!X6</ns0:f>
        <ns0:v>5009.59</ns0:v>
      </ns0:c>
      <ns0:c r="J77" s="4">
        <ns0:f>'Dados originais'!Y6</ns0:f>
        <ns0:v>5149.86</ns0:v>
      </ns0:c>
      <ns0:c r="K77" s="4">
        <ns0:f>'Dados originais'!Z6</ns0:f>
        <ns0:v>5294.06</ns0:v>
      </ns0:c>
      <ns0:c r="L77" s="4">
        <ns0:f>'Dados originais'!AA6</ns0:f>
        <ns0:v>5442.29</ns0:v>
      </ns0:c>
      <ns0:c r="M77" s="4">
        <ns0:f>'Dados originais'!AB6</ns0:f>
        <ns0:v>5594.67</ns0:v>
      </ns0:c>
      <ns0:c r="N77" s="4">
        <ns0:f>'Dados originais'!AC6</ns0:f>
        <ns0:v>5751.32</ns0:v>
      </ns0:c>
      <ns0:c r="O77" s="4">
        <ns0:f>'Dados originais'!AD6</ns0:f>
        <ns0:v>5912.36</ns0:v>
      </ns0:c>
      <ns0:c r="P77" s="4">
        <ns0:f>'Dados originais'!AE6</ns0:f>
        <ns0:v>6077.91</ns0:v>
      </ns0:c>
      <ns0:c r="Q77" s="4">
        <ns0:f>'Dados originais'!AF6</ns0:f>
        <ns0:v>6248.09</ns0:v>
      </ns0:c>
      <ns0:c r="R77" s="4">
        <ns0:f>'Dados originais'!AG6</ns0:f>
        <ns0:v>6423.04</ns0:v>
      </ns0:c>
    </ns0:row>
    <ns0:row r="78" ht="26" customHeight="1">
      <ns0:c r="A78" s="15" t="n"/>
      <ns0:c r="B78" s="16" t="inlineStr">
        <ns0:is>
          <ns0:t>IV</ns0:t>
        </ns0:is>
      </ns0:c>
      <ns0:c r="C78" s="17" t="str">
        <ns0:f> "+"&amp;TEXT('Parâmetros'!D22,"0.00")&amp;IF('Parâmetros'!C22="valor_fixo"," R$ / ","% / ")&amp;'Parâmetros'!E22</ns0:f>
        <ns0:v>+15.00% / III</ns0:v>
      </ns0:c>
      <ns0:c r="D78" s="21">
        <ns0:f>'Dados originais'!S7</ns0:f>
        <ns0:v>5018.04</ns0:v>
      </ns0:c>
      <ns0:c r="E78" s="21">
        <ns0:f>'Dados originais'!T7</ns0:f>
        <ns0:v>5158.55</ns0:v>
      </ns0:c>
      <ns0:c r="F78" s="21">
        <ns0:f>'Dados originais'!U7</ns0:f>
        <ns0:v>5302.99</ns0:v>
      </ns0:c>
      <ns0:c r="G78" s="21">
        <ns0:f>'Dados originais'!V7</ns0:f>
        <ns0:v>5451.47</ns0:v>
      </ns0:c>
      <ns0:c r="H78" s="21">
        <ns0:f>'Dados originais'!W7</ns0:f>
        <ns0:v>5604.11</ns0:v>
      </ns0:c>
      <ns0:c r="I78" s="21">
        <ns0:f>'Dados originais'!X7</ns0:f>
        <ns0:v>5761.03</ns0:v>
      </ns0:c>
      <ns0:c r="J78" s="21">
        <ns0:f>'Dados originais'!Y7</ns0:f>
        <ns0:v>5922.34</ns0:v>
      </ns0:c>
      <ns0:c r="K78" s="21">
        <ns0:f>'Dados originais'!Z7</ns0:f>
        <ns0:v>6088.16</ns0:v>
      </ns0:c>
      <ns0:c r="L78" s="21">
        <ns0:f>'Dados originais'!AA7</ns0:f>
        <ns0:v>6258.63</ns0:v>
      </ns0:c>
      <ns0:c r="M78" s="21">
        <ns0:f>'Dados originais'!AB7</ns0:f>
        <ns0:v>6433.87</ns0:v>
      </ns0:c>
      <ns0:c r="N78" s="21">
        <ns0:f>'Dados originais'!AC7</ns0:f>
        <ns0:v>6614.02</ns0:v>
      </ns0:c>
      <ns0:c r="O78" s="21">
        <ns0:f>'Dados originais'!AD7</ns0:f>
        <ns0:v>6799.22</ns0:v>
      </ns0:c>
      <ns0:c r="P78" s="21">
        <ns0:f>'Dados originais'!AE7</ns0:f>
        <ns0:v>6989.59</ns0:v>
      </ns0:c>
      <ns0:c r="Q78" s="21">
        <ns0:f>'Dados originais'!AF7</ns0:f>
        <ns0:v>7185.3</ns0:v>
      </ns0:c>
      <ns0:c r="R78" s="21">
        <ns0:f>'Dados originais'!AG7</ns0:f>
        <ns0:v>7386.49</ns0:v>
      </ns0:c>
    </ns0:row>
    <ns0:row r="81" ht="28" customHeight="1">
      <ns0:c r="A81" s="22" t="inlineStr">
        <ns0:is>
          <ns0:t>• TABELA DE VENCIMENTOS — REFERÊNCIA Cenário didático: base inicial +5% •</ns0:t>
        </ns0:is>
      </ns0:c>
      <ns0:c r="B81" s="22" t="n"/>
      <ns0:c r="C81" s="22" t="n"/>
      <ns0:c r="D81" s="22" t="n"/>
      <ns0:c r="E81" s="22" t="n"/>
      <ns0:c r="F81" s="22" t="n"/>
      <ns0:c r="G81" s="22" t="n"/>
      <ns0:c r="H81" s="22" t="n"/>
      <ns0:c r="I81" s="22" t="n"/>
      <ns0:c r="J81" s="22" t="n"/>
      <ns0:c r="K81" s="22" t="n"/>
      <ns0:c r="L81" s="22" t="n"/>
      <ns0:c r="M81" s="22" t="n"/>
      <ns0:c r="N81" s="22" t="n"/>
      <ns0:c r="O81" s="22" t="n"/>
      <ns0:c r="P81" s="22" t="n"/>
      <ns0:c r="Q81" s="22" t="n"/>
      <ns0:c r="R81" s="22" t="n"/>
    </ns0:row>
    <ns0:row r="82" ht="24" customHeight="1">
      <ns0:c r="A82" s="23" t="inlineStr">
        <ns0:is>
          <ns0:t>AUXILIAR ADMINISTRATIVO OPERACIONAL — 40 HORAS</ns0:t>
        </ns0:is>
      </ns0:c>
      <ns0:c r="B82" s="23" t="n"/>
      <ns0:c r="C82" s="23" t="n"/>
      <ns0:c r="D82" s="23" t="n"/>
      <ns0:c r="E82" s="23" t="n"/>
      <ns0:c r="F82" s="23" t="n"/>
      <ns0:c r="G82" s="23" t="n"/>
      <ns0:c r="H82" s="23" t="n"/>
      <ns0:c r="I82" s="23" t="n"/>
      <ns0:c r="J82" s="23" t="n"/>
      <ns0:c r="K82" s="23" t="n"/>
      <ns0:c r="L82" s="23" t="n"/>
      <ns0:c r="M82" s="23" t="n"/>
      <ns0:c r="N82" s="23" t="n"/>
      <ns0:c r="O82" s="23" t="n"/>
      <ns0:c r="P82" s="23" t="n"/>
      <ns0:c r="Q82" s="23" t="n"/>
      <ns0:c r="R82" s="23" t="n"/>
    </ns0:row>
    <ns0:row r="83" ht="28" customHeight="1">
      <ns0:c r="A83" s="24" t="inlineStr">
        <ns0:is>
          <ns0:t>Classes →</ns0:t>
        </ns0:is>
      </ns0:c>
      <ns0:c r="B83" s="24" t="inlineStr">
        <ns0:is>
          <ns0:t>Nível</ns0:t>
        </ns0:is>
      </ns0:c>
      <ns0:c r="C83" s="24" t="inlineStr">
        <ns0:is>
          <ns0:t>Regra vertical</ns0:t>
        </ns0:is>
      </ns0:c>
      <ns0:c r="D83" s="24" t="inlineStr">
        <ns0:is>
          <ns0:t>XVI</ns0:t>
        </ns0:is>
      </ns0:c>
      <ns0:c r="E83" s="24" t="inlineStr">
        <ns0:is>
          <ns0:t>XVII</ns0:t>
        </ns0:is>
      </ns0:c>
      <ns0:c r="F83" s="24" t="inlineStr">
        <ns0:is>
          <ns0:t>XVIII</ns0:t>
        </ns0:is>
      </ns0:c>
      <ns0:c r="G83" s="24" t="inlineStr">
        <ns0:is>
          <ns0:t>XIX</ns0:t>
        </ns0:is>
      </ns0:c>
      <ns0:c r="H83" s="24" t="inlineStr">
        <ns0:is>
          <ns0:t>XX</ns0:t>
        </ns0:is>
      </ns0:c>
      <ns0:c r="I83" s="24" t="inlineStr">
        <ns0:is>
          <ns0:t>XXI</ns0:t>
        </ns0:is>
      </ns0:c>
      <ns0:c r="J83" s="24" t="inlineStr">
        <ns0:is>
          <ns0:t>XXII</ns0:t>
        </ns0:is>
      </ns0:c>
      <ns0:c r="K83" s="24" t="inlineStr">
        <ns0:is>
          <ns0:t>XXIII</ns0:t>
        </ns0:is>
      </ns0:c>
      <ns0:c r="L83" s="24" t="inlineStr">
        <ns0:is>
          <ns0:t>XXIV</ns0:t>
        </ns0:is>
      </ns0:c>
      <ns0:c r="M83" s="24" t="inlineStr">
        <ns0:is>
          <ns0:t>XXV</ns0:t>
        </ns0:is>
      </ns0:c>
      <ns0:c r="N83" s="24" t="inlineStr">
        <ns0:is>
          <ns0:t>XXVI</ns0:t>
        </ns0:is>
      </ns0:c>
      <ns0:c r="O83" s="24" t="inlineStr">
        <ns0:is>
          <ns0:t>XXVII</ns0:t>
        </ns0:is>
      </ns0:c>
      <ns0:c r="P83" s="24" t="inlineStr">
        <ns0:is>
          <ns0:t>XXVIII</ns0:t>
        </ns0:is>
      </ns0:c>
      <ns0:c r="Q83" s="24" t="inlineStr">
        <ns0:is>
          <ns0:t>XXIX</ns0:t>
        </ns0:is>
      </ns0:c>
      <ns0:c r="R83" s="24" t="inlineStr">
        <ns0:is>
          <ns0:t>XXX</ns0:t>
        </ns0:is>
      </ns0:c>
    </ns0:row>
    <ns0:row r="84" ht="26" customHeight="1">
      <ns0:c r="A84" s="3" t="inlineStr">
        <ns0:is>
          <ns0:t>Níveis ↓</ns0:t>
        </ns0:is>
      </ns0:c>
      <ns0:c r="B84" s="3" t="inlineStr">
        <ns0:is>
          <ns0:t>I</ns0:t>
        </ns0:is>
      </ns0:c>
      <ns0:c r="C84" s="3" t="inlineStr">
        <ns0:is>
          <ns0:t>Base</ns0:t>
        </ns0:is>
      </ns0:c>
      <ns0:c r="D84" s="4">
        <ns0:f>IF('Parâmetros'!$B$12="truncar",ROUNDDOWN(R28*(1+'Parâmetros'!C41/100),2),ROUND(R28*(1+'Parâmetros'!C41/100),2))</ns0:f>
        <ns0:v>3464.4</ns0:v>
      </ns0:c>
      <ns0:c r="E84" s="4">
        <ns0:f>IF('Parâmetros'!$B$12="truncar",ROUNDDOWN(D84*(1+'Parâmetros'!C42/100),2),ROUND(D84*(1+'Parâmetros'!C42/100),2))</ns0:f>
        <ns0:v>3561.4</ns0:v>
      </ns0:c>
      <ns0:c r="F84" s="4">
        <ns0:f>IF('Parâmetros'!$B$12="truncar",ROUNDDOWN(E84*(1+'Parâmetros'!C43/100),2),ROUND(E84*(1+'Parâmetros'!C43/100),2))</ns0:f>
        <ns0:v>3661.12</ns0:v>
      </ns0:c>
      <ns0:c r="G84" s="4">
        <ns0:f>IF('Parâmetros'!$B$12="truncar",ROUNDDOWN(F84*(1+'Parâmetros'!C44/100),2),ROUND(F84*(1+'Parâmetros'!C44/100),2))</ns0:f>
        <ns0:v>3763.63</ns0:v>
      </ns0:c>
      <ns0:c r="H84" s="4">
        <ns0:f>IF('Parâmetros'!$B$12="truncar",ROUNDDOWN(G84*(1+'Parâmetros'!C45/100),2),ROUND(G84*(1+'Parâmetros'!C45/100),2))</ns0:f>
        <ns0:v>3869.01</ns0:v>
      </ns0:c>
      <ns0:c r="I84" s="4">
        <ns0:f>IF('Parâmetros'!$B$12="truncar",ROUNDDOWN(H84*(1+'Parâmetros'!C46/100),2),ROUND(H84*(1+'Parâmetros'!C46/100),2))</ns0:f>
        <ns0:v>3977.34</ns0:v>
      </ns0:c>
      <ns0:c r="J84" s="4">
        <ns0:f>IF('Parâmetros'!$B$12="truncar",ROUNDDOWN(I84*(1+'Parâmetros'!C47/100),2),ROUND(I84*(1+'Parâmetros'!C47/100),2))</ns0:f>
        <ns0:v>4088.71</ns0:v>
      </ns0:c>
      <ns0:c r="K84" s="4">
        <ns0:f>IF('Parâmetros'!$B$12="truncar",ROUNDDOWN(J84*(1+'Parâmetros'!C48/100),2),ROUND(J84*(1+'Parâmetros'!C48/100),2))</ns0:f>
        <ns0:v>4203.19</ns0:v>
      </ns0:c>
      <ns0:c r="L84" s="4">
        <ns0:f>IF('Parâmetros'!$B$12="truncar",ROUNDDOWN(K84*(1+'Parâmetros'!C49/100),2),ROUND(K84*(1+'Parâmetros'!C49/100),2))</ns0:f>
        <ns0:v>4320.88</ns0:v>
      </ns0:c>
      <ns0:c r="M84" s="4">
        <ns0:f>IF('Parâmetros'!$B$12="truncar",ROUNDDOWN(L84*(1+'Parâmetros'!C50/100),2),ROUND(L84*(1+'Parâmetros'!C50/100),2))</ns0:f>
        <ns0:v>4441.86</ns0:v>
      </ns0:c>
      <ns0:c r="N84" s="4">
        <ns0:f>IF('Parâmetros'!$B$12="truncar",ROUNDDOWN(M84*(1+'Parâmetros'!C51/100),2),ROUND(M84*(1+'Parâmetros'!C51/100),2))</ns0:f>
        <ns0:v>4566.23</ns0:v>
      </ns0:c>
      <ns0:c r="O84" s="4">
        <ns0:f>IF('Parâmetros'!$B$12="truncar",ROUNDDOWN(N84*(1+'Parâmetros'!C52/100),2),ROUND(N84*(1+'Parâmetros'!C52/100),2))</ns0:f>
        <ns0:v>4694.08</ns0:v>
      </ns0:c>
      <ns0:c r="P84" s="4">
        <ns0:f>IF('Parâmetros'!$B$12="truncar",ROUNDDOWN(O84*(1+'Parâmetros'!C53/100),2),ROUND(O84*(1+'Parâmetros'!C53/100),2))</ns0:f>
        <ns0:v>4825.51</ns0:v>
      </ns0:c>
      <ns0:c r="Q84" s="4">
        <ns0:f>IF('Parâmetros'!$B$12="truncar",ROUNDDOWN(P84*(1+'Parâmetros'!C54/100),2),ROUND(P84*(1+'Parâmetros'!C54/100),2))</ns0:f>
        <ns0:v>4960.62</ns0:v>
      </ns0:c>
      <ns0:c r="R84" s="4">
        <ns0:f>IF('Parâmetros'!$B$12="truncar",ROUNDDOWN(Q84*(1+'Parâmetros'!C55/100),2),ROUND(Q84*(1+'Parâmetros'!C55/100),2))</ns0:f>
        <ns0:v>5099.52</ns0:v>
      </ns0:c>
    </ns0:row>
    <ns0:row r="85" ht="26" customHeight="1">
      <ns0:c r="B85" s="25" t="inlineStr">
        <ns0:is>
          <ns0:t>II</ns0:t>
        </ns0:is>
      </ns0:c>
      <ns0:c r="C85" s="26" t="str">
        <ns0:f> "+"&amp;TEXT('Parâmetros'!D20,"0.00")&amp;IF('Parâmetros'!C20="valor_fixo"," R$ / ","% / ")&amp;'Parâmetros'!E20</ns0:f>
        <ns0:v>+15.00% / I</ns0:v>
      </ns0:c>
      <ns0:c r="D85" s="27">
        <ns0:f>IF('Parâmetros'!$B$12="truncar",ROUNDDOWN(R29*(1+'Parâmetros'!C41/100),2),ROUND(R29*(1+'Parâmetros'!C41/100),2))</ns0:f>
        <ns0:v>3984.1</ns0:v>
      </ns0:c>
      <ns0:c r="E85" s="27">
        <ns0:f>IF('Parâmetros'!$B$12="truncar",ROUNDDOWN(D85*(1+'Parâmetros'!C42/100),2),ROUND(D85*(1+'Parâmetros'!C42/100),2))</ns0:f>
        <ns0:v>4095.65</ns0:v>
      </ns0:c>
      <ns0:c r="F85" s="27">
        <ns0:f>IF('Parâmetros'!$B$12="truncar",ROUNDDOWN(E85*(1+'Parâmetros'!C43/100),2),ROUND(E85*(1+'Parâmetros'!C43/100),2))</ns0:f>
        <ns0:v>4210.33</ns0:v>
      </ns0:c>
      <ns0:c r="G85" s="27">
        <ns0:f>IF('Parâmetros'!$B$12="truncar",ROUNDDOWN(F85*(1+'Parâmetros'!C44/100),2),ROUND(F85*(1+'Parâmetros'!C44/100),2))</ns0:f>
        <ns0:v>4328.22</ns0:v>
      </ns0:c>
      <ns0:c r="H85" s="27">
        <ns0:f>IF('Parâmetros'!$B$12="truncar",ROUNDDOWN(G85*(1+'Parâmetros'!C45/100),2),ROUND(G85*(1+'Parâmetros'!C45/100),2))</ns0:f>
        <ns0:v>4449.41</ns0:v>
      </ns0:c>
      <ns0:c r="I85" s="27">
        <ns0:f>IF('Parâmetros'!$B$12="truncar",ROUNDDOWN(H85*(1+'Parâmetros'!C46/100),2),ROUND(H85*(1+'Parâmetros'!C46/100),2))</ns0:f>
        <ns0:v>4573.99</ns0:v>
      </ns0:c>
      <ns0:c r="J85" s="27">
        <ns0:f>IF('Parâmetros'!$B$12="truncar",ROUNDDOWN(I85*(1+'Parâmetros'!C47/100),2),ROUND(I85*(1+'Parâmetros'!C47/100),2))</ns0:f>
        <ns0:v>4702.06</ns0:v>
      </ns0:c>
      <ns0:c r="K85" s="27">
        <ns0:f>IF('Parâmetros'!$B$12="truncar",ROUNDDOWN(J85*(1+'Parâmetros'!C48/100),2),ROUND(J85*(1+'Parâmetros'!C48/100),2))</ns0:f>
        <ns0:v>4833.72</ns0:v>
      </ns0:c>
      <ns0:c r="L85" s="27">
        <ns0:f>IF('Parâmetros'!$B$12="truncar",ROUNDDOWN(K85*(1+'Parâmetros'!C49/100),2),ROUND(K85*(1+'Parâmetros'!C49/100),2))</ns0:f>
        <ns0:v>4969.06</ns0:v>
      </ns0:c>
      <ns0:c r="M85" s="27">
        <ns0:f>IF('Parâmetros'!$B$12="truncar",ROUNDDOWN(L85*(1+'Parâmetros'!C50/100),2),ROUND(L85*(1+'Parâmetros'!C50/100),2))</ns0:f>
        <ns0:v>5108.19</ns0:v>
      </ns0:c>
      <ns0:c r="N85" s="27">
        <ns0:f>IF('Parâmetros'!$B$12="truncar",ROUNDDOWN(M85*(1+'Parâmetros'!C51/100),2),ROUND(M85*(1+'Parâmetros'!C51/100),2))</ns0:f>
        <ns0:v>5251.22</ns0:v>
      </ns0:c>
      <ns0:c r="O85" s="27">
        <ns0:f>IF('Parâmetros'!$B$12="truncar",ROUNDDOWN(N85*(1+'Parâmetros'!C52/100),2),ROUND(N85*(1+'Parâmetros'!C52/100),2))</ns0:f>
        <ns0:v>5398.25</ns0:v>
      </ns0:c>
      <ns0:c r="P85" s="27">
        <ns0:f>IF('Parâmetros'!$B$12="truncar",ROUNDDOWN(O85*(1+'Parâmetros'!C53/100),2),ROUND(O85*(1+'Parâmetros'!C53/100),2))</ns0:f>
        <ns0:v>5549.4</ns0:v>
      </ns0:c>
      <ns0:c r="Q85" s="27">
        <ns0:f>IF('Parâmetros'!$B$12="truncar",ROUNDDOWN(P85*(1+'Parâmetros'!C54/100),2),ROUND(P85*(1+'Parâmetros'!C54/100),2))</ns0:f>
        <ns0:v>5704.78</ns0:v>
      </ns0:c>
      <ns0:c r="R85" s="27">
        <ns0:f>IF('Parâmetros'!$B$12="truncar",ROUNDDOWN(Q85*(1+'Parâmetros'!C55/100),2),ROUND(Q85*(1+'Parâmetros'!C55/100),2))</ns0:f>
        <ns0:v>5864.51</ns0:v>
      </ns0:c>
    </ns0:row>
    <ns0:row r="86" ht="26" customHeight="1">
      <ns0:c r="B86" s="3" t="inlineStr">
        <ns0:is>
          <ns0:t>III</ns0:t>
        </ns0:is>
      </ns0:c>
      <ns0:c r="C86" s="14" t="str">
        <ns0:f> "+"&amp;TEXT('Parâmetros'!D21,"0.00")&amp;IF('Parâmetros'!C21="valor_fixo"," R$ / ","% / ")&amp;'Parâmetros'!E21</ns0:f>
        <ns0:v>+15.00% / II</ns0:v>
      </ns0:c>
      <ns0:c r="D86" s="4">
        <ns0:f>IF('Parâmetros'!$B$12="truncar",ROUNDDOWN(R30*(1+'Parâmetros'!C41/100),2),ROUND(R30*(1+'Parâmetros'!C41/100),2))</ns0:f>
        <ns0:v>4581.68</ns0:v>
      </ns0:c>
      <ns0:c r="E86" s="4">
        <ns0:f>IF('Parâmetros'!$B$12="truncar",ROUNDDOWN(D86*(1+'Parâmetros'!C42/100),2),ROUND(D86*(1+'Parâmetros'!C42/100),2))</ns0:f>
        <ns0:v>4709.97</ns0:v>
      </ns0:c>
      <ns0:c r="F86" s="4">
        <ns0:f>IF('Parâmetros'!$B$12="truncar",ROUNDDOWN(E86*(1+'Parâmetros'!C43/100),2),ROUND(E86*(1+'Parâmetros'!C43/100),2))</ns0:f>
        <ns0:v>4841.85</ns0:v>
      </ns0:c>
      <ns0:c r="G86" s="4">
        <ns0:f>IF('Parâmetros'!$B$12="truncar",ROUNDDOWN(F86*(1+'Parâmetros'!C44/100),2),ROUND(F86*(1+'Parâmetros'!C44/100),2))</ns0:f>
        <ns0:v>4977.42</ns0:v>
      </ns0:c>
      <ns0:c r="H86" s="4">
        <ns0:f>IF('Parâmetros'!$B$12="truncar",ROUNDDOWN(G86*(1+'Parâmetros'!C45/100),2),ROUND(G86*(1+'Parâmetros'!C45/100),2))</ns0:f>
        <ns0:v>5116.79</ns0:v>
      </ns0:c>
      <ns0:c r="I86" s="4">
        <ns0:f>IF('Parâmetros'!$B$12="truncar",ROUNDDOWN(H86*(1+'Parâmetros'!C46/100),2),ROUND(H86*(1+'Parâmetros'!C46/100),2))</ns0:f>
        <ns0:v>5260.06</ns0:v>
      </ns0:c>
      <ns0:c r="J86" s="4">
        <ns0:f>IF('Parâmetros'!$B$12="truncar",ROUNDDOWN(I86*(1+'Parâmetros'!C47/100),2),ROUND(I86*(1+'Parâmetros'!C47/100),2))</ns0:f>
        <ns0:v>5407.34</ns0:v>
      </ns0:c>
      <ns0:c r="K86" s="4">
        <ns0:f>IF('Parâmetros'!$B$12="truncar",ROUNDDOWN(J86*(1+'Parâmetros'!C48/100),2),ROUND(J86*(1+'Parâmetros'!C48/100),2))</ns0:f>
        <ns0:v>5558.75</ns0:v>
      </ns0:c>
      <ns0:c r="L86" s="4">
        <ns0:f>IF('Parâmetros'!$B$12="truncar",ROUNDDOWN(K86*(1+'Parâmetros'!C49/100),2),ROUND(K86*(1+'Parâmetros'!C49/100),2))</ns0:f>
        <ns0:v>5714.4</ns0:v>
      </ns0:c>
      <ns0:c r="M86" s="4">
        <ns0:f>IF('Parâmetros'!$B$12="truncar",ROUNDDOWN(L86*(1+'Parâmetros'!C50/100),2),ROUND(L86*(1+'Parâmetros'!C50/100),2))</ns0:f>
        <ns0:v>5874.4</ns0:v>
      </ns0:c>
      <ns0:c r="N86" s="4">
        <ns0:f>IF('Parâmetros'!$B$12="truncar",ROUNDDOWN(M86*(1+'Parâmetros'!C51/100),2),ROUND(M86*(1+'Parâmetros'!C51/100),2))</ns0:f>
        <ns0:v>6038.88</ns0:v>
      </ns0:c>
      <ns0:c r="O86" s="4">
        <ns0:f>IF('Parâmetros'!$B$12="truncar",ROUNDDOWN(N86*(1+'Parâmetros'!C52/100),2),ROUND(N86*(1+'Parâmetros'!C52/100),2))</ns0:f>
        <ns0:v>6207.97</ns0:v>
      </ns0:c>
      <ns0:c r="P86" s="4">
        <ns0:f>IF('Parâmetros'!$B$12="truncar",ROUNDDOWN(O86*(1+'Parâmetros'!C53/100),2),ROUND(O86*(1+'Parâmetros'!C53/100),2))</ns0:f>
        <ns0:v>6381.79</ns0:v>
      </ns0:c>
      <ns0:c r="Q86" s="4">
        <ns0:f>IF('Parâmetros'!$B$12="truncar",ROUNDDOWN(P86*(1+'Parâmetros'!C54/100),2),ROUND(P86*(1+'Parâmetros'!C54/100),2))</ns0:f>
        <ns0:v>6560.48</ns0:v>
      </ns0:c>
      <ns0:c r="R86" s="4">
        <ns0:f>IF('Parâmetros'!$B$12="truncar",ROUNDDOWN(Q86*(1+'Parâmetros'!C55/100),2),ROUND(Q86*(1+'Parâmetros'!C55/100),2))</ns0:f>
        <ns0:v>6744.17</ns0:v>
      </ns0:c>
    </ns0:row>
    <ns0:row r="87" ht="26" customHeight="1">
      <ns0:c r="A87" s="28" t="n"/>
      <ns0:c r="B87" s="29" t="inlineStr">
        <ns0:is>
          <ns0:t>IV</ns0:t>
        </ns0:is>
      </ns0:c>
      <ns0:c r="C87" s="30" t="str">
        <ns0:f> "+"&amp;TEXT('Parâmetros'!D22,"0.00")&amp;IF('Parâmetros'!C22="valor_fixo"," R$ / ","% / ")&amp;'Parâmetros'!E22</ns0:f>
        <ns0:v>+15.00% / III</ns0:v>
      </ns0:c>
      <ns0:c r="D87" s="31">
        <ns0:f>IF('Parâmetros'!$B$12="truncar",ROUNDDOWN(R31*(1+'Parâmetros'!C41/100),2),ROUND(R31*(1+'Parâmetros'!C41/100),2))</ns0:f>
        <ns0:v>5268.94</ns0:v>
      </ns0:c>
      <ns0:c r="E87" s="31">
        <ns0:f>IF('Parâmetros'!$B$12="truncar",ROUNDDOWN(D87*(1+'Parâmetros'!C42/100),2),ROUND(D87*(1+'Parâmetros'!C42/100),2))</ns0:f>
        <ns0:v>5416.47</ns0:v>
      </ns0:c>
      <ns0:c r="F87" s="31">
        <ns0:f>IF('Parâmetros'!$B$12="truncar",ROUNDDOWN(E87*(1+'Parâmetros'!C43/100),2),ROUND(E87*(1+'Parâmetros'!C43/100),2))</ns0:f>
        <ns0:v>5568.13</ns0:v>
      </ns0:c>
      <ns0:c r="G87" s="31">
        <ns0:f>IF('Parâmetros'!$B$12="truncar",ROUNDDOWN(F87*(1+'Parâmetros'!C44/100),2),ROUND(F87*(1+'Parâmetros'!C44/100),2))</ns0:f>
        <ns0:v>5724.04</ns0:v>
      </ns0:c>
      <ns0:c r="H87" s="31">
        <ns0:f>IF('Parâmetros'!$B$12="truncar",ROUNDDOWN(G87*(1+'Parâmetros'!C45/100),2),ROUND(G87*(1+'Parâmetros'!C45/100),2))</ns0:f>
        <ns0:v>5884.31</ns0:v>
      </ns0:c>
      <ns0:c r="I87" s="31">
        <ns0:f>IF('Parâmetros'!$B$12="truncar",ROUNDDOWN(H87*(1+'Parâmetros'!C46/100),2),ROUND(H87*(1+'Parâmetros'!C46/100),2))</ns0:f>
        <ns0:v>6049.07</ns0:v>
      </ns0:c>
      <ns0:c r="J87" s="31">
        <ns0:f>IF('Parâmetros'!$B$12="truncar",ROUNDDOWN(I87*(1+'Parâmetros'!C47/100),2),ROUND(I87*(1+'Parâmetros'!C47/100),2))</ns0:f>
        <ns0:v>6218.44</ns0:v>
      </ns0:c>
      <ns0:c r="K87" s="31">
        <ns0:f>IF('Parâmetros'!$B$12="truncar",ROUNDDOWN(J87*(1+'Parâmetros'!C48/100),2),ROUND(J87*(1+'Parâmetros'!C48/100),2))</ns0:f>
        <ns0:v>6392.56</ns0:v>
      </ns0:c>
      <ns0:c r="L87" s="31">
        <ns0:f>IF('Parâmetros'!$B$12="truncar",ROUNDDOWN(K87*(1+'Parâmetros'!C49/100),2),ROUND(K87*(1+'Parâmetros'!C49/100),2))</ns0:f>
        <ns0:v>6571.55</ns0:v>
      </ns0:c>
      <ns0:c r="M87" s="31">
        <ns0:f>IF('Parâmetros'!$B$12="truncar",ROUNDDOWN(L87*(1+'Parâmetros'!C50/100),2),ROUND(L87*(1+'Parâmetros'!C50/100),2))</ns0:f>
        <ns0:v>6755.55</ns0:v>
      </ns0:c>
      <ns0:c r="N87" s="31">
        <ns0:f>IF('Parâmetros'!$B$12="truncar",ROUNDDOWN(M87*(1+'Parâmetros'!C51/100),2),ROUND(M87*(1+'Parâmetros'!C51/100),2))</ns0:f>
        <ns0:v>6944.71</ns0:v>
      </ns0:c>
      <ns0:c r="O87" s="31">
        <ns0:f>IF('Parâmetros'!$B$12="truncar",ROUNDDOWN(N87*(1+'Parâmetros'!C52/100),2),ROUND(N87*(1+'Parâmetros'!C52/100),2))</ns0:f>
        <ns0:v>7139.16</ns0:v>
      </ns0:c>
      <ns0:c r="P87" s="31">
        <ns0:f>IF('Parâmetros'!$B$12="truncar",ROUNDDOWN(O87*(1+'Parâmetros'!C53/100),2),ROUND(O87*(1+'Parâmetros'!C53/100),2))</ns0:f>
        <ns0:v>7339.06</ns0:v>
      </ns0:c>
      <ns0:c r="Q87" s="31">
        <ns0:f>IF('Parâmetros'!$B$12="truncar",ROUNDDOWN(P87*(1+'Parâmetros'!C54/100),2),ROUND(P87*(1+'Parâmetros'!C54/100),2))</ns0:f>
        <ns0:v>7544.55</ns0:v>
      </ns0:c>
      <ns0:c r="R87" s="31">
        <ns0:f>IF('Parâmetros'!$B$12="truncar",ROUNDDOWN(Q87*(1+'Parâmetros'!C55/100),2),ROUND(Q87*(1+'Parâmetros'!C55/100),2))</ns0:f>
        <ns0:v>7755.8</ns0:v>
      </ns0:c>
    </ns0:row>
    <ns0:row r="90" ht="35" customHeight="1">
      <ns0:c r="A90" s="2" t="str">
        <ns0:f>"Neste bloco: "&amp;SUMPRODUCT(--(D75:R78&lt;D84:R87))&amp;" vencimentos abaixo da referência de carreira; "&amp;COUNTIF(D75:R78,"&lt;"&amp;$D$4)&amp;" abaixo da base inicial (em vermelho)."</ns0:f>
        <ns0:v>Neste bloco: 60 vencimentos abaixo da referência de carreira; 0 abaixo da base inicial (em vermelho).</ns0:v>
      </ns0:c>
      <ns0:c r="B90" s="2" t="n"/>
      <ns0:c r="C90" s="2" t="n"/>
      <ns0:c r="D90" s="2" t="n"/>
      <ns0:c r="E90" s="2" t="n"/>
      <ns0:c r="F90" s="2" t="n"/>
      <ns0:c r="G90" s="2" t="n"/>
      <ns0:c r="H90" s="2" t="n"/>
      <ns0:c r="I90" s="2" t="n"/>
      <ns0:c r="J90" s="2" t="n"/>
      <ns0:c r="K90" s="2" t="n"/>
      <ns0:c r="L90" s="2" t="n"/>
      <ns0:c r="M90" s="2" t="n"/>
      <ns0:c r="N90" s="2" t="n"/>
      <ns0:c r="O90" s="2" t="n"/>
      <ns0:c r="P90" s="2" t="n"/>
      <ns0:c r="Q90" s="2" t="n"/>
      <ns0:c r="R90" s="2" t="n"/>
    </ns0:row>
    <ns0:row r="92" ht="28" customHeight="1">
      <ns0:c r="A92" s="5" t="inlineStr">
        <ns0:is>
          <ns0:t>NÃO CONFORMIDADES EM RELAÇÃO À REFERÊNCIA</ns0:t>
        </ns0:is>
      </ns0:c>
      <ns0:c r="B92" s="5" t="n"/>
      <ns0:c r="C92" s="5" t="n"/>
      <ns0:c r="D92" s="5" t="n"/>
      <ns0:c r="E92" s="5" t="n"/>
      <ns0:c r="F92" s="5" t="n"/>
      <ns0:c r="G92" s="5" t="n"/>
      <ns0:c r="H92" s="5" t="n"/>
      <ns0:c r="I92" s="5" t="n"/>
      <ns0:c r="J92" s="5" t="n"/>
      <ns0:c r="K92" s="5" t="n"/>
      <ns0:c r="L92" s="5" t="n"/>
      <ns0:c r="M92" s="5" t="n"/>
      <ns0:c r="N92" s="5" t="n"/>
      <ns0:c r="O92" s="5" t="n"/>
      <ns0:c r="P92" s="5" t="n"/>
      <ns0:c r="Q92" s="5" t="n"/>
      <ns0:c r="R92" s="5" t="n"/>
    </ns0:row>
    <ns0:row r="93" ht="24" customHeight="1">
      <ns0:c r="A93" s="6" t="inlineStr">
        <ns0:is>
          <ns0:t>AUXILIAR ADMINISTRATIVO OPERACIONAL — 40 HORAS</ns0:t>
        </ns0:is>
      </ns0:c>
      <ns0:c r="B93" s="6" t="n"/>
      <ns0:c r="C93" s="6" t="n"/>
      <ns0:c r="D93" s="6" t="n"/>
      <ns0:c r="E93" s="6" t="n"/>
      <ns0:c r="F93" s="6" t="n"/>
      <ns0:c r="G93" s="6" t="n"/>
      <ns0:c r="H93" s="6" t="n"/>
      <ns0:c r="I93" s="6" t="n"/>
      <ns0:c r="J93" s="6" t="n"/>
      <ns0:c r="K93" s="6" t="n"/>
      <ns0:c r="L93" s="6" t="n"/>
      <ns0:c r="M93" s="6" t="n"/>
      <ns0:c r="N93" s="6" t="n"/>
      <ns0:c r="O93" s="6" t="n"/>
      <ns0:c r="P93" s="6" t="n"/>
      <ns0:c r="Q93" s="6" t="n"/>
      <ns0:c r="R93" s="6" t="n"/>
    </ns0:row>
    <ns0:row r="94" ht="28" customHeight="1">
      <ns0:c r="A94" s="7" t="inlineStr">
        <ns0:is>
          <ns0:t>Classes →</ns0:t>
        </ns0:is>
      </ns0:c>
      <ns0:c r="B94" s="7" t="inlineStr">
        <ns0:is>
          <ns0:t>Nível</ns0:t>
        </ns0:is>
      </ns0:c>
      <ns0:c r="C94" s="7" t="inlineStr">
        <ns0:is>
          <ns0:t>Regra vertical</ns0:t>
        </ns0:is>
      </ns0:c>
      <ns0:c r="D94" s="7" t="inlineStr">
        <ns0:is>
          <ns0:t>XVI</ns0:t>
        </ns0:is>
      </ns0:c>
      <ns0:c r="E94" s="7" t="inlineStr">
        <ns0:is>
          <ns0:t>XVII</ns0:t>
        </ns0:is>
      </ns0:c>
      <ns0:c r="F94" s="7" t="inlineStr">
        <ns0:is>
          <ns0:t>XVIII</ns0:t>
        </ns0:is>
      </ns0:c>
      <ns0:c r="G94" s="7" t="inlineStr">
        <ns0:is>
          <ns0:t>XIX</ns0:t>
        </ns0:is>
      </ns0:c>
      <ns0:c r="H94" s="7" t="inlineStr">
        <ns0:is>
          <ns0:t>XX</ns0:t>
        </ns0:is>
      </ns0:c>
      <ns0:c r="I94" s="7" t="inlineStr">
        <ns0:is>
          <ns0:t>XXI</ns0:t>
        </ns0:is>
      </ns0:c>
      <ns0:c r="J94" s="7" t="inlineStr">
        <ns0:is>
          <ns0:t>XXII</ns0:t>
        </ns0:is>
      </ns0:c>
      <ns0:c r="K94" s="7" t="inlineStr">
        <ns0:is>
          <ns0:t>XXIII</ns0:t>
        </ns0:is>
      </ns0:c>
      <ns0:c r="L94" s="7" t="inlineStr">
        <ns0:is>
          <ns0:t>XXIV</ns0:t>
        </ns0:is>
      </ns0:c>
      <ns0:c r="M94" s="7" t="inlineStr">
        <ns0:is>
          <ns0:t>XXV</ns0:t>
        </ns0:is>
      </ns0:c>
      <ns0:c r="N94" s="7" t="inlineStr">
        <ns0:is>
          <ns0:t>XXVI</ns0:t>
        </ns0:is>
      </ns0:c>
      <ns0:c r="O94" s="7" t="inlineStr">
        <ns0:is>
          <ns0:t>XXVII</ns0:t>
        </ns0:is>
      </ns0:c>
      <ns0:c r="P94" s="7" t="inlineStr">
        <ns0:is>
          <ns0:t>XXVIII</ns0:t>
        </ns0:is>
      </ns0:c>
      <ns0:c r="Q94" s="7" t="inlineStr">
        <ns0:is>
          <ns0:t>XXIX</ns0:t>
        </ns0:is>
      </ns0:c>
      <ns0:c r="R94" s="7" t="inlineStr">
        <ns0:is>
          <ns0:t>XXX</ns0:t>
        </ns0:is>
      </ns0:c>
    </ns0:row>
    <ns0:row r="95" ht="26" customHeight="1">
      <ns0:c r="A95" s="3" t="inlineStr">
        <ns0:is>
          <ns0:t>Níveis ↓</ns0:t>
        </ns0:is>
      </ns0:c>
      <ns0:c r="B95" s="3" t="inlineStr">
        <ns0:is>
          <ns0:t>I</ns0:t>
        </ns0:is>
      </ns0:c>
      <ns0:c r="C95" s="3" t="inlineStr">
        <ns0:is>
          <ns0:t>Base</ns0:t>
        </ns0:is>
      </ns0:c>
      <ns0:c r="D95" s="4">
        <ns0:f>'Dados originais'!S4</ns0:f>
        <ns0:v>3299.45</ns0:v>
      </ns0:c>
      <ns0:c r="E95" s="4">
        <ns0:f>'Dados originais'!T4</ns0:f>
        <ns0:v>3391.83</ns0:v>
      </ns0:c>
      <ns0:c r="F95" s="4">
        <ns0:f>'Dados originais'!U4</ns0:f>
        <ns0:v>3486.8</ns0:v>
      </ns0:c>
      <ns0:c r="G95" s="4">
        <ns0:f>'Dados originais'!V4</ns0:f>
        <ns0:v>3584.43</ns0:v>
      </ns0:c>
      <ns0:c r="H95" s="4">
        <ns0:f>'Dados originais'!W4</ns0:f>
        <ns0:v>3684.8</ns0:v>
      </ns0:c>
      <ns0:c r="I95" s="4">
        <ns0:f>'Dados originais'!X4</ns0:f>
        <ns0:v>3787.97</ns0:v>
      </ns0:c>
      <ns0:c r="J95" s="4">
        <ns0:f>'Dados originais'!Y4</ns0:f>
        <ns0:v>3894.03</ns0:v>
      </ns0:c>
      <ns0:c r="K95" s="4">
        <ns0:f>'Dados originais'!Z4</ns0:f>
        <ns0:v>4003.07</ns0:v>
      </ns0:c>
      <ns0:c r="L95" s="4">
        <ns0:f>'Dados originais'!AA4</ns0:f>
        <ns0:v>4115.15</ns0:v>
      </ns0:c>
      <ns0:c r="M95" s="4">
        <ns0:f>'Dados originais'!AB4</ns0:f>
        <ns0:v>4230.38</ns0:v>
      </ns0:c>
      <ns0:c r="N95" s="4">
        <ns0:f>'Dados originais'!AC4</ns0:f>
        <ns0:v>4348.83</ns0:v>
      </ns0:c>
      <ns0:c r="O95" s="4">
        <ns0:f>'Dados originais'!AD4</ns0:f>
        <ns0:v>4470.59</ns0:v>
      </ns0:c>
      <ns0:c r="P95" s="4">
        <ns0:f>'Dados originais'!AE4</ns0:f>
        <ns0:v>4595.77</ns0:v>
      </ns0:c>
      <ns0:c r="Q95" s="4">
        <ns0:f>'Dados originais'!AF4</ns0:f>
        <ns0:v>4724.45</ns0:v>
      </ns0:c>
      <ns0:c r="R95" s="4">
        <ns0:f>'Dados originais'!AG4</ns0:f>
        <ns0:v>4856.74</ns0:v>
      </ns0:c>
    </ns0:row>
    <ns0:row r="96" ht="26" customHeight="1">
      <ns0:c r="B96" s="10" t="inlineStr">
        <ns0:is>
          <ns0:t>II</ns0:t>
        </ns0:is>
      </ns0:c>
      <ns0:c r="C96" s="11" t="str">
        <ns0:f> "+"&amp;TEXT('Parâmetros'!D20,"0.00")&amp;IF('Parâmetros'!C20="valor_fixo"," R$ / ","% / ")&amp;'Parâmetros'!E20</ns0:f>
        <ns0:v>+15.00% / I</ns0:v>
      </ns0:c>
      <ns0:c r="D96" s="20">
        <ns0:f>'Dados originais'!S5</ns0:f>
        <ns0:v>3794.36</ns0:v>
      </ns0:c>
      <ns0:c r="E96" s="20">
        <ns0:f>'Dados originais'!T5</ns0:f>
        <ns0:v>3900.6</ns0:v>
      </ns0:c>
      <ns0:c r="F96" s="20">
        <ns0:f>'Dados originais'!U5</ns0:f>
        <ns0:v>4009.82</ns0:v>
      </ns0:c>
      <ns0:c r="G96" s="20">
        <ns0:f>'Dados originais'!V5</ns0:f>
        <ns0:v>4122.1</ns0:v>
      </ns0:c>
      <ns0:c r="H96" s="20">
        <ns0:f>'Dados originais'!W5</ns0:f>
        <ns0:v>4237.52</ns0:v>
      </ns0:c>
      <ns0:c r="I96" s="20">
        <ns0:f>'Dados originais'!X5</ns0:f>
        <ns0:v>4356.17</ns0:v>
      </ns0:c>
      <ns0:c r="J96" s="20">
        <ns0:f>'Dados originais'!Y5</ns0:f>
        <ns0:v>4478.14</ns0:v>
      </ns0:c>
      <ns0:c r="K96" s="20">
        <ns0:f>'Dados originais'!Z5</ns0:f>
        <ns0:v>4603.53</ns0:v>
      </ns0:c>
      <ns0:c r="L96" s="20">
        <ns0:f>'Dados originais'!AA5</ns0:f>
        <ns0:v>4732.43</ns0:v>
      </ns0:c>
      <ns0:c r="M96" s="20">
        <ns0:f>'Dados originais'!AB5</ns0:f>
        <ns0:v>4864.93</ns0:v>
      </ns0:c>
      <ns0:c r="N96" s="20">
        <ns0:f>'Dados originais'!AC5</ns0:f>
        <ns0:v>5001.15</ns0:v>
      </ns0:c>
      <ns0:c r="O96" s="20">
        <ns0:f>'Dados originais'!AD5</ns0:f>
        <ns0:v>5141.18</ns0:v>
      </ns0:c>
      <ns0:c r="P96" s="20">
        <ns0:f>'Dados originais'!AE5</ns0:f>
        <ns0:v>5285.14</ns0:v>
      </ns0:c>
      <ns0:c r="Q96" s="20">
        <ns0:f>'Dados originais'!AF5</ns0:f>
        <ns0:v>5433.12</ns0:v>
      </ns0:c>
      <ns0:c r="R96" s="20">
        <ns0:f>'Dados originais'!AG5</ns0:f>
        <ns0:v>5585.25</ns0:v>
      </ns0:c>
    </ns0:row>
    <ns0:row r="97" ht="26" customHeight="1">
      <ns0:c r="B97" s="3" t="inlineStr">
        <ns0:is>
          <ns0:t>III</ns0:t>
        </ns0:is>
      </ns0:c>
      <ns0:c r="C97" s="14" t="str">
        <ns0:f> "+"&amp;TEXT('Parâmetros'!D21,"0.00")&amp;IF('Parâmetros'!C21="valor_fixo"," R$ / ","% / ")&amp;'Parâmetros'!E21</ns0:f>
        <ns0:v>+15.00% / II</ns0:v>
      </ns0:c>
      <ns0:c r="D97" s="4">
        <ns0:f>'Dados originais'!S6</ns0:f>
        <ns0:v>4363.52</ns0:v>
      </ns0:c>
      <ns0:c r="E97" s="4">
        <ns0:f>'Dados originais'!T6</ns0:f>
        <ns0:v>4485.7</ns0:v>
      </ns0:c>
      <ns0:c r="F97" s="4">
        <ns0:f>'Dados originais'!U6</ns0:f>
        <ns0:v>4611.3</ns0:v>
      </ns0:c>
      <ns0:c r="G97" s="4">
        <ns0:f>'Dados originais'!V6</ns0:f>
        <ns0:v>4740.41</ns0:v>
      </ns0:c>
      <ns0:c r="H97" s="4">
        <ns0:f>'Dados originais'!W6</ns0:f>
        <ns0:v>4873.14</ns0:v>
      </ns0:c>
      <ns0:c r="I97" s="4">
        <ns0:f>'Dados originais'!X6</ns0:f>
        <ns0:v>5009.59</ns0:v>
      </ns0:c>
      <ns0:c r="J97" s="4">
        <ns0:f>'Dados originais'!Y6</ns0:f>
        <ns0:v>5149.86</ns0:v>
      </ns0:c>
      <ns0:c r="K97" s="4">
        <ns0:f>'Dados originais'!Z6</ns0:f>
        <ns0:v>5294.06</ns0:v>
      </ns0:c>
      <ns0:c r="L97" s="4">
        <ns0:f>'Dados originais'!AA6</ns0:f>
        <ns0:v>5442.29</ns0:v>
      </ns0:c>
      <ns0:c r="M97" s="4">
        <ns0:f>'Dados originais'!AB6</ns0:f>
        <ns0:v>5594.67</ns0:v>
      </ns0:c>
      <ns0:c r="N97" s="4">
        <ns0:f>'Dados originais'!AC6</ns0:f>
        <ns0:v>5751.32</ns0:v>
      </ns0:c>
      <ns0:c r="O97" s="4">
        <ns0:f>'Dados originais'!AD6</ns0:f>
        <ns0:v>5912.36</ns0:v>
      </ns0:c>
      <ns0:c r="P97" s="4">
        <ns0:f>'Dados originais'!AE6</ns0:f>
        <ns0:v>6077.91</ns0:v>
      </ns0:c>
      <ns0:c r="Q97" s="4">
        <ns0:f>'Dados originais'!AF6</ns0:f>
        <ns0:v>6248.09</ns0:v>
      </ns0:c>
      <ns0:c r="R97" s="4">
        <ns0:f>'Dados originais'!AG6</ns0:f>
        <ns0:v>6423.04</ns0:v>
      </ns0:c>
    </ns0:row>
    <ns0:row r="98" ht="26" customHeight="1">
      <ns0:c r="A98" s="15" t="n"/>
      <ns0:c r="B98" s="16" t="inlineStr">
        <ns0:is>
          <ns0:t>IV</ns0:t>
        </ns0:is>
      </ns0:c>
      <ns0:c r="C98" s="17" t="str">
        <ns0:f> "+"&amp;TEXT('Parâmetros'!D22,"0.00")&amp;IF('Parâmetros'!C22="valor_fixo"," R$ / ","% / ")&amp;'Parâmetros'!E22</ns0:f>
        <ns0:v>+15.00% / III</ns0:v>
      </ns0:c>
      <ns0:c r="D98" s="21">
        <ns0:f>'Dados originais'!S7</ns0:f>
        <ns0:v>5018.04</ns0:v>
      </ns0:c>
      <ns0:c r="E98" s="21">
        <ns0:f>'Dados originais'!T7</ns0:f>
        <ns0:v>5158.55</ns0:v>
      </ns0:c>
      <ns0:c r="F98" s="21">
        <ns0:f>'Dados originais'!U7</ns0:f>
        <ns0:v>5302.99</ns0:v>
      </ns0:c>
      <ns0:c r="G98" s="21">
        <ns0:f>'Dados originais'!V7</ns0:f>
        <ns0:v>5451.47</ns0:v>
      </ns0:c>
      <ns0:c r="H98" s="21">
        <ns0:f>'Dados originais'!W7</ns0:f>
        <ns0:v>5604.11</ns0:v>
      </ns0:c>
      <ns0:c r="I98" s="21">
        <ns0:f>'Dados originais'!X7</ns0:f>
        <ns0:v>5761.03</ns0:v>
      </ns0:c>
      <ns0:c r="J98" s="21">
        <ns0:f>'Dados originais'!Y7</ns0:f>
        <ns0:v>5922.34</ns0:v>
      </ns0:c>
      <ns0:c r="K98" s="21">
        <ns0:f>'Dados originais'!Z7</ns0:f>
        <ns0:v>6088.16</ns0:v>
      </ns0:c>
      <ns0:c r="L98" s="21">
        <ns0:f>'Dados originais'!AA7</ns0:f>
        <ns0:v>6258.63</ns0:v>
      </ns0:c>
      <ns0:c r="M98" s="21">
        <ns0:f>'Dados originais'!AB7</ns0:f>
        <ns0:v>6433.87</ns0:v>
      </ns0:c>
      <ns0:c r="N98" s="21">
        <ns0:f>'Dados originais'!AC7</ns0:f>
        <ns0:v>6614.02</ns0:v>
      </ns0:c>
      <ns0:c r="O98" s="21">
        <ns0:f>'Dados originais'!AD7</ns0:f>
        <ns0:v>6799.22</ns0:v>
      </ns0:c>
      <ns0:c r="P98" s="21">
        <ns0:f>'Dados originais'!AE7</ns0:f>
        <ns0:v>6989.59</ns0:v>
      </ns0:c>
      <ns0:c r="Q98" s="21">
        <ns0:f>'Dados originais'!AF7</ns0:f>
        <ns0:v>7185.3</ns0:v>
      </ns0:c>
      <ns0:c r="R98" s="21">
        <ns0:f>'Dados originais'!AG7</ns0:f>
        <ns0:v>7386.49</ns0:v>
      </ns0:c>
    </ns0:row>
    <ns0:row r="101" ht="28" customHeight="1">
      <ns0:c r="A101" s="32" t="inlineStr">
        <ns0:is>
          <ns0:t>• DEFASAGEM SALARIAL MENSAL •</ns0:t>
        </ns0:is>
      </ns0:c>
      <ns0:c r="B101" s="32" t="n"/>
      <ns0:c r="C101" s="32" t="n"/>
      <ns0:c r="D101" s="32" t="n"/>
      <ns0:c r="E101" s="32" t="n"/>
      <ns0:c r="F101" s="32" t="n"/>
      <ns0:c r="G101" s="32" t="n"/>
      <ns0:c r="H101" s="32" t="n"/>
      <ns0:c r="I101" s="32" t="n"/>
      <ns0:c r="J101" s="32" t="n"/>
      <ns0:c r="K101" s="32" t="n"/>
      <ns0:c r="L101" s="32" t="n"/>
      <ns0:c r="M101" s="32" t="n"/>
      <ns0:c r="N101" s="32" t="n"/>
      <ns0:c r="O101" s="32" t="n"/>
      <ns0:c r="P101" s="32" t="n"/>
      <ns0:c r="Q101" s="32" t="n"/>
      <ns0:c r="R101" s="32" t="n"/>
    </ns0:row>
    <ns0:row r="102" ht="24" customHeight="1">
      <ns0:c r="A102" s="33" t="inlineStr">
        <ns0:is>
          <ns0:t>AUXILIAR ADMINISTRATIVO OPERACIONAL — 40 HORAS</ns0:t>
        </ns0:is>
      </ns0:c>
      <ns0:c r="B102" s="33" t="n"/>
      <ns0:c r="C102" s="33" t="n"/>
      <ns0:c r="D102" s="33" t="n"/>
      <ns0:c r="E102" s="33" t="n"/>
      <ns0:c r="F102" s="33" t="n"/>
      <ns0:c r="G102" s="33" t="n"/>
      <ns0:c r="H102" s="33" t="n"/>
      <ns0:c r="I102" s="33" t="n"/>
      <ns0:c r="J102" s="33" t="n"/>
      <ns0:c r="K102" s="33" t="n"/>
      <ns0:c r="L102" s="33" t="n"/>
      <ns0:c r="M102" s="33" t="n"/>
      <ns0:c r="N102" s="33" t="n"/>
      <ns0:c r="O102" s="33" t="n"/>
      <ns0:c r="P102" s="33" t="n"/>
      <ns0:c r="Q102" s="33" t="n"/>
      <ns0:c r="R102" s="33" t="n"/>
    </ns0:row>
    <ns0:row r="103" ht="28" customHeight="1">
      <ns0:c r="A103" s="34" t="inlineStr">
        <ns0:is>
          <ns0:t>Classes →</ns0:t>
        </ns0:is>
      </ns0:c>
      <ns0:c r="B103" s="34" t="inlineStr">
        <ns0:is>
          <ns0:t>Nível</ns0:t>
        </ns0:is>
      </ns0:c>
      <ns0:c r="C103" s="34" t="inlineStr">
        <ns0:is>
          <ns0:t>Regra vertical</ns0:t>
        </ns0:is>
      </ns0:c>
      <ns0:c r="D103" s="34" t="inlineStr">
        <ns0:is>
          <ns0:t>XVI</ns0:t>
        </ns0:is>
      </ns0:c>
      <ns0:c r="E103" s="34" t="inlineStr">
        <ns0:is>
          <ns0:t>XVII</ns0:t>
        </ns0:is>
      </ns0:c>
      <ns0:c r="F103" s="34" t="inlineStr">
        <ns0:is>
          <ns0:t>XVIII</ns0:t>
        </ns0:is>
      </ns0:c>
      <ns0:c r="G103" s="34" t="inlineStr">
        <ns0:is>
          <ns0:t>XIX</ns0:t>
        </ns0:is>
      </ns0:c>
      <ns0:c r="H103" s="34" t="inlineStr">
        <ns0:is>
          <ns0:t>XX</ns0:t>
        </ns0:is>
      </ns0:c>
      <ns0:c r="I103" s="34" t="inlineStr">
        <ns0:is>
          <ns0:t>XXI</ns0:t>
        </ns0:is>
      </ns0:c>
      <ns0:c r="J103" s="34" t="inlineStr">
        <ns0:is>
          <ns0:t>XXII</ns0:t>
        </ns0:is>
      </ns0:c>
      <ns0:c r="K103" s="34" t="inlineStr">
        <ns0:is>
          <ns0:t>XXIII</ns0:t>
        </ns0:is>
      </ns0:c>
      <ns0:c r="L103" s="34" t="inlineStr">
        <ns0:is>
          <ns0:t>XXIV</ns0:t>
        </ns0:is>
      </ns0:c>
      <ns0:c r="M103" s="34" t="inlineStr">
        <ns0:is>
          <ns0:t>XXV</ns0:t>
        </ns0:is>
      </ns0:c>
      <ns0:c r="N103" s="34" t="inlineStr">
        <ns0:is>
          <ns0:t>XXVI</ns0:t>
        </ns0:is>
      </ns0:c>
      <ns0:c r="O103" s="34" t="inlineStr">
        <ns0:is>
          <ns0:t>XXVII</ns0:t>
        </ns0:is>
      </ns0:c>
      <ns0:c r="P103" s="34" t="inlineStr">
        <ns0:is>
          <ns0:t>XXVIII</ns0:t>
        </ns0:is>
      </ns0:c>
      <ns0:c r="Q103" s="34" t="inlineStr">
        <ns0:is>
          <ns0:t>XXIX</ns0:t>
        </ns0:is>
      </ns0:c>
      <ns0:c r="R103" s="34" t="inlineStr">
        <ns0:is>
          <ns0:t>XXX</ns0:t>
        </ns0:is>
      </ns0:c>
    </ns0:row>
    <ns0:row r="104" ht="26" customHeight="1">
      <ns0:c r="A104" s="3" t="inlineStr">
        <ns0:is>
          <ns0:t>Níveis ↓</ns0:t>
        </ns0:is>
      </ns0:c>
      <ns0:c r="B104" s="3" t="inlineStr">
        <ns0:is>
          <ns0:t>I</ns0:t>
        </ns0:is>
      </ns0:c>
      <ns0:c r="C104" s="3" t="inlineStr">
        <ns0:is>
          <ns0:t>Base</ns0:t>
        </ns0:is>
      </ns0:c>
      <ns0:c r="D104" s="4">
        <ns0:f>D75-D84</ns0:f>
        <ns0:v>-164.95</ns0:v>
      </ns0:c>
      <ns0:c r="E104" s="4">
        <ns0:f>E75-E84</ns0:f>
        <ns0:v>-169.57</ns0:v>
      </ns0:c>
      <ns0:c r="F104" s="4">
        <ns0:f>F75-F84</ns0:f>
        <ns0:v>-174.32</ns0:v>
      </ns0:c>
      <ns0:c r="G104" s="4">
        <ns0:f>G75-G84</ns0:f>
        <ns0:v>-179.2</ns0:v>
      </ns0:c>
      <ns0:c r="H104" s="4">
        <ns0:f>H75-H84</ns0:f>
        <ns0:v>-184.21</ns0:v>
      </ns0:c>
      <ns0:c r="I104" s="4">
        <ns0:f>I75-I84</ns0:f>
        <ns0:v>-189.37</ns0:v>
      </ns0:c>
      <ns0:c r="J104" s="4">
        <ns0:f>J75-J84</ns0:f>
        <ns0:v>-194.68</ns0:v>
      </ns0:c>
      <ns0:c r="K104" s="4">
        <ns0:f>K75-K84</ns0:f>
        <ns0:v>-200.12</ns0:v>
      </ns0:c>
      <ns0:c r="L104" s="4">
        <ns0:f>L75-L84</ns0:f>
        <ns0:v>-205.73</ns0:v>
      </ns0:c>
      <ns0:c r="M104" s="4">
        <ns0:f>M75-M84</ns0:f>
        <ns0:v>-211.48</ns0:v>
      </ns0:c>
      <ns0:c r="N104" s="4">
        <ns0:f>N75-N84</ns0:f>
        <ns0:v>-217.4</ns0:v>
      </ns0:c>
      <ns0:c r="O104" s="4">
        <ns0:f>O75-O84</ns0:f>
        <ns0:v>-223.49</ns0:v>
      </ns0:c>
      <ns0:c r="P104" s="4">
        <ns0:f>P75-P84</ns0:f>
        <ns0:v>-229.74</ns0:v>
      </ns0:c>
      <ns0:c r="Q104" s="4">
        <ns0:f>Q75-Q84</ns0:f>
        <ns0:v>-236.17</ns0:v>
      </ns0:c>
      <ns0:c r="R104" s="4">
        <ns0:f>R75-R84</ns0:f>
        <ns0:v>-242.78</ns0:v>
      </ns0:c>
    </ns0:row>
    <ns0:row r="105" ht="26" customHeight="1">
      <ns0:c r="B105" s="35" t="inlineStr">
        <ns0:is>
          <ns0:t>II</ns0:t>
        </ns0:is>
      </ns0:c>
      <ns0:c r="C105" s="36" t="str">
        <ns0:f> "+"&amp;TEXT('Parâmetros'!D20,"0.00")&amp;IF('Parâmetros'!C20="valor_fixo"," R$ / ","% / ")&amp;'Parâmetros'!E20</ns0:f>
        <ns0:v>+15.00% / I</ns0:v>
      </ns0:c>
      <ns0:c r="D105" s="37">
        <ns0:f>D76-D85</ns0:f>
        <ns0:v>-189.74</ns0:v>
      </ns0:c>
      <ns0:c r="E105" s="37">
        <ns0:f>E76-E85</ns0:f>
        <ns0:v>-195.05</ns0:v>
      </ns0:c>
      <ns0:c r="F105" s="37">
        <ns0:f>F76-F85</ns0:f>
        <ns0:v>-200.51</ns0:v>
      </ns0:c>
      <ns0:c r="G105" s="37">
        <ns0:f>G76-G85</ns0:f>
        <ns0:v>-206.12</ns0:v>
      </ns0:c>
      <ns0:c r="H105" s="37">
        <ns0:f>H76-H85</ns0:f>
        <ns0:v>-211.89</ns0:v>
      </ns0:c>
      <ns0:c r="I105" s="37">
        <ns0:f>I76-I85</ns0:f>
        <ns0:v>-217.82</ns0:v>
      </ns0:c>
      <ns0:c r="J105" s="37">
        <ns0:f>J76-J85</ns0:f>
        <ns0:v>-223.92</ns0:v>
      </ns0:c>
      <ns0:c r="K105" s="37">
        <ns0:f>K76-K85</ns0:f>
        <ns0:v>-230.19</ns0:v>
      </ns0:c>
      <ns0:c r="L105" s="37">
        <ns0:f>L76-L85</ns0:f>
        <ns0:v>-236.63</ns0:v>
      </ns0:c>
      <ns0:c r="M105" s="37">
        <ns0:f>M76-M85</ns0:f>
        <ns0:v>-243.26</ns0:v>
      </ns0:c>
      <ns0:c r="N105" s="37">
        <ns0:f>N76-N85</ns0:f>
        <ns0:v>-250.07</ns0:v>
      </ns0:c>
      <ns0:c r="O105" s="37">
        <ns0:f>O76-O85</ns0:f>
        <ns0:v>-257.07</ns0:v>
      </ns0:c>
      <ns0:c r="P105" s="37">
        <ns0:f>P76-P85</ns0:f>
        <ns0:v>-264.26</ns0:v>
      </ns0:c>
      <ns0:c r="Q105" s="37">
        <ns0:f>Q76-Q85</ns0:f>
        <ns0:v>-271.66</ns0:v>
      </ns0:c>
      <ns0:c r="R105" s="37">
        <ns0:f>R76-R85</ns0:f>
        <ns0:v>-279.26</ns0:v>
      </ns0:c>
    </ns0:row>
    <ns0:row r="106" ht="26" customHeight="1">
      <ns0:c r="B106" s="3" t="inlineStr">
        <ns0:is>
          <ns0:t>III</ns0:t>
        </ns0:is>
      </ns0:c>
      <ns0:c r="C106" s="14" t="str">
        <ns0:f> "+"&amp;TEXT('Parâmetros'!D21,"0.00")&amp;IF('Parâmetros'!C21="valor_fixo"," R$ / ","% / ")&amp;'Parâmetros'!E21</ns0:f>
        <ns0:v>+15.00% / II</ns0:v>
      </ns0:c>
      <ns0:c r="D106" s="4">
        <ns0:f>D77-D86</ns0:f>
        <ns0:v>-218.16</ns0:v>
      </ns0:c>
      <ns0:c r="E106" s="4">
        <ns0:f>E77-E86</ns0:f>
        <ns0:v>-224.27</ns0:v>
      </ns0:c>
      <ns0:c r="F106" s="4">
        <ns0:f>F77-F86</ns0:f>
        <ns0:v>-230.55</ns0:v>
      </ns0:c>
      <ns0:c r="G106" s="4">
        <ns0:f>G77-G86</ns0:f>
        <ns0:v>-237.01</ns0:v>
      </ns0:c>
      <ns0:c r="H106" s="4">
        <ns0:f>H77-H86</ns0:f>
        <ns0:v>-243.65</ns0:v>
      </ns0:c>
      <ns0:c r="I106" s="4">
        <ns0:f>I77-I86</ns0:f>
        <ns0:v>-250.47</ns0:v>
      </ns0:c>
      <ns0:c r="J106" s="4">
        <ns0:f>J77-J86</ns0:f>
        <ns0:v>-257.48</ns0:v>
      </ns0:c>
      <ns0:c r="K106" s="4">
        <ns0:f>K77-K86</ns0:f>
        <ns0:v>-264.69</ns0:v>
      </ns0:c>
      <ns0:c r="L106" s="4">
        <ns0:f>L77-L86</ns0:f>
        <ns0:v>-272.11</ns0:v>
      </ns0:c>
      <ns0:c r="M106" s="4">
        <ns0:f>M77-M86</ns0:f>
        <ns0:v>-279.73</ns0:v>
      </ns0:c>
      <ns0:c r="N106" s="4">
        <ns0:f>N77-N86</ns0:f>
        <ns0:v>-287.56</ns0:v>
      </ns0:c>
      <ns0:c r="O106" s="4">
        <ns0:f>O77-O86</ns0:f>
        <ns0:v>-295.61</ns0:v>
      </ns0:c>
      <ns0:c r="P106" s="4">
        <ns0:f>P77-P86</ns0:f>
        <ns0:v>-303.88</ns0:v>
      </ns0:c>
      <ns0:c r="Q106" s="4">
        <ns0:f>Q77-Q86</ns0:f>
        <ns0:v>-312.39</ns0:v>
      </ns0:c>
      <ns0:c r="R106" s="4">
        <ns0:f>R77-R86</ns0:f>
        <ns0:v>-321.13</ns0:v>
      </ns0:c>
    </ns0:row>
    <ns0:row r="107" ht="26" customHeight="1">
      <ns0:c r="A107" s="38" t="n"/>
      <ns0:c r="B107" s="39" t="inlineStr">
        <ns0:is>
          <ns0:t>IV</ns0:t>
        </ns0:is>
      </ns0:c>
      <ns0:c r="C107" s="40" t="str">
        <ns0:f> "+"&amp;TEXT('Parâmetros'!D22,"0.00")&amp;IF('Parâmetros'!C22="valor_fixo"," R$ / ","% / ")&amp;'Parâmetros'!E22</ns0:f>
        <ns0:v>+15.00% / III</ns0:v>
      </ns0:c>
      <ns0:c r="D107" s="41">
        <ns0:f>D78-D87</ns0:f>
        <ns0:v>-250.9</ns0:v>
      </ns0:c>
      <ns0:c r="E107" s="41">
        <ns0:f>E78-E87</ns0:f>
        <ns0:v>-257.92</ns0:v>
      </ns0:c>
      <ns0:c r="F107" s="41">
        <ns0:f>F78-F87</ns0:f>
        <ns0:v>-265.14</ns0:v>
      </ns0:c>
      <ns0:c r="G107" s="41">
        <ns0:f>G78-G87</ns0:f>
        <ns0:v>-272.57</ns0:v>
      </ns0:c>
      <ns0:c r="H107" s="41">
        <ns0:f>H78-H87</ns0:f>
        <ns0:v>-280.2</ns0:v>
      </ns0:c>
      <ns0:c r="I107" s="41">
        <ns0:f>I78-I87</ns0:f>
        <ns0:v>-288.04</ns0:v>
      </ns0:c>
      <ns0:c r="J107" s="41">
        <ns0:f>J78-J87</ns0:f>
        <ns0:v>-296.1</ns0:v>
      </ns0:c>
      <ns0:c r="K107" s="41">
        <ns0:f>K78-K87</ns0:f>
        <ns0:v>-304.4</ns0:v>
      </ns0:c>
      <ns0:c r="L107" s="41">
        <ns0:f>L78-L87</ns0:f>
        <ns0:v>-312.92</ns0:v>
      </ns0:c>
      <ns0:c r="M107" s="41">
        <ns0:f>M78-M87</ns0:f>
        <ns0:v>-321.68</ns0:v>
      </ns0:c>
      <ns0:c r="N107" s="41">
        <ns0:f>N78-N87</ns0:f>
        <ns0:v>-330.69</ns0:v>
      </ns0:c>
      <ns0:c r="O107" s="41">
        <ns0:f>O78-O87</ns0:f>
        <ns0:v>-339.94</ns0:v>
      </ns0:c>
      <ns0:c r="P107" s="41">
        <ns0:f>P78-P87</ns0:f>
        <ns0:v>-349.47</ns0:v>
      </ns0:c>
      <ns0:c r="Q107" s="41">
        <ns0:f>Q78-Q87</ns0:f>
        <ns0:v>-359.25</ns0:v>
      </ns0:c>
      <ns0:c r="R107" s="41">
        <ns0:f>R78-R87</ns0:f>
        <ns0:v>-369.31</ns0:v>
      </ns0:c>
    </ns0:row>
    <ns0:row r="110" ht="30" customHeight="1">
      <ns0:c r="A110" s="2" t="inlineStr">
        <ns0:is>
          <ns0:t>Defasagem = referência ÷ atual − 1. Diferença mensal = atual − referência; negativa indica valor abaixo da referência.</ns0:t>
        </ns0:is>
      </ns0:c>
      <ns0:c r="B110" s="2" t="n"/>
      <ns0:c r="C110" s="2" t="n"/>
      <ns0:c r="D110" s="2" t="n"/>
      <ns0:c r="E110" s="2" t="n"/>
      <ns0:c r="F110" s="2" t="n"/>
      <ns0:c r="G110" s="2" t="n"/>
      <ns0:c r="H110" s="2" t="n"/>
      <ns0:c r="I110" s="2" t="n"/>
      <ns0:c r="J110" s="2" t="n"/>
      <ns0:c r="K110" s="2" t="n"/>
      <ns0:c r="L110" s="2" t="n"/>
      <ns0:c r="M110" s="2" t="n"/>
      <ns0:c r="N110" s="2" t="n"/>
      <ns0:c r="O110" s="2" t="n"/>
      <ns0:c r="P110" s="2" t="n"/>
      <ns0:c r="Q110" s="2" t="n"/>
      <ns0:c r="R110" s="2" t="n"/>
    </ns0:row>
    <ns0:row r="112" ht="30" customHeight="1">
      <ns0:c r="A112" s="42" t="inlineStr">
        <ns0:is>
          <ns0:t>DEFASAGEM SALARIAL EM RELAÇÃO À REFERÊNCIA</ns0:t>
        </ns0:is>
      </ns0:c>
      <ns0:c r="B112" s="42" t="n"/>
      <ns0:c r="C112" s="42" t="n"/>
      <ns0:c r="D112" s="42" t="n"/>
      <ns0:c r="E112" s="42" t="n"/>
      <ns0:c r="F112" s="42" t="n"/>
      <ns0:c r="G112" s="42" t="n"/>
      <ns0:c r="H112" s="42" t="n"/>
      <ns0:c r="I112" s="42" t="n"/>
      <ns0:c r="J112" s="42" t="n"/>
      <ns0:c r="K112" s="42" t="n"/>
      <ns0:c r="L112" s="42" t="n"/>
      <ns0:c r="M112" s="42" t="n"/>
      <ns0:c r="N112" s="42" t="n"/>
      <ns0:c r="O112" s="43">
        <ns0:f>D28/D19-1</ns0:f>
        <ns0:v>0.049999</ns0:v>
      </ns0:c>
      <ns0:c r="P112" s="42" t="n"/>
      <ns0:c r="Q112" s="42" t="n"/>
      <ns0:c r="R112" s="42" t="n"/>
    </ns0:row>
    <ns0:row r="113" ht="24" customHeight="1">
      <ns0:c r="A113" s="42" t="n"/>
      <ns0:c r="B113" s="42" t="n"/>
      <ns0:c r="C113" s="42" t="n"/>
      <ns0:c r="D113" s="42" t="n"/>
      <ns0:c r="E113" s="42" t="n"/>
      <ns0:c r="F113" s="42" t="n"/>
      <ns0:c r="G113" s="42" t="n"/>
      <ns0:c r="H113" s="42" t="n"/>
      <ns0:c r="I113" s="42" t="n"/>
      <ns0:c r="J113" s="42" t="n"/>
      <ns0:c r="K113" s="42" t="n"/>
      <ns0:c r="L113" s="42" t="n"/>
      <ns0:c r="M113" s="42" t="n"/>
      <ns0:c r="N113" s="42" t="n"/>
      <ns0:c r="O113" s="42" t="n"/>
      <ns0:c r="P113" s="42" t="n"/>
      <ns0:c r="Q113" s="42" t="n"/>
      <ns0:c r="R113" s="42" t="n"/>
    </ns0:row>
    <ns0:row r="117" ht="30" customHeight="1">
      <ns0:c r="A117" s="2" t="inlineStr">
        <ns0:is>
          <ns0:t>Continuação das classes/referências: XXXI a XLV. Nenhuma classe foi descartada.</ns0:t>
        </ns0:is>
      </ns0:c>
      <ns0:c r="B117" s="2" t="n"/>
      <ns0:c r="C117" s="2" t="n"/>
      <ns0:c r="D117" s="2" t="n"/>
      <ns0:c r="E117" s="2" t="n"/>
      <ns0:c r="F117" s="2" t="n"/>
      <ns0:c r="G117" s="2" t="n"/>
      <ns0:c r="H117" s="2" t="n"/>
      <ns0:c r="I117" s="2" t="n"/>
      <ns0:c r="J117" s="2" t="n"/>
      <ns0:c r="K117" s="2" t="n"/>
      <ns0:c r="L117" s="2" t="n"/>
      <ns0:c r="M117" s="2" t="n"/>
      <ns0:c r="N117" s="2" t="n"/>
      <ns0:c r="O117" s="2" t="n"/>
      <ns0:c r="P117" s="2" t="n"/>
      <ns0:c r="Q117" s="2" t="n"/>
      <ns0:c r="R117" s="2" t="n"/>
    </ns0:row>
    <ns0:row r="119" ht="28" customHeight="1">
      <ns0:c r="A119" s="5" t="inlineStr">
        <ns0:is>
          <ns0:t>ESTRUTURA DE PROMOÇÃO / PROGRESSÃO</ns0:t>
        </ns0:is>
      </ns0:c>
      <ns0:c r="B119" s="5" t="n"/>
      <ns0:c r="C119" s="5" t="n"/>
      <ns0:c r="D119" s="5" t="n"/>
      <ns0:c r="E119" s="5" t="n"/>
      <ns0:c r="F119" s="5" t="n"/>
      <ns0:c r="G119" s="5" t="n"/>
      <ns0:c r="H119" s="5" t="n"/>
      <ns0:c r="I119" s="5" t="n"/>
      <ns0:c r="J119" s="5" t="n"/>
      <ns0:c r="K119" s="5" t="n"/>
      <ns0:c r="L119" s="5" t="n"/>
      <ns0:c r="M119" s="5" t="n"/>
      <ns0:c r="N119" s="5" t="n"/>
      <ns0:c r="O119" s="5" t="n"/>
      <ns0:c r="P119" s="5" t="n"/>
      <ns0:c r="Q119" s="5" t="n"/>
      <ns0:c r="R119" s="5" t="n"/>
    </ns0:row>
    <ns0:row r="120" ht="24" customHeight="1">
      <ns0:c r="A120" s="6" t="inlineStr">
        <ns0:is>
          <ns0:t>AUXILIAR ADMINISTRATIVO OPERACIONAL — 40 HORAS</ns0:t>
        </ns0:is>
      </ns0:c>
      <ns0:c r="B120" s="6" t="n"/>
      <ns0:c r="C120" s="6" t="n"/>
      <ns0:c r="D120" s="6" t="n"/>
      <ns0:c r="E120" s="6" t="n"/>
      <ns0:c r="F120" s="6" t="n"/>
      <ns0:c r="G120" s="6" t="n"/>
      <ns0:c r="H120" s="6" t="n"/>
      <ns0:c r="I120" s="6" t="n"/>
      <ns0:c r="J120" s="6" t="n"/>
      <ns0:c r="K120" s="6" t="n"/>
      <ns0:c r="L120" s="6" t="n"/>
      <ns0:c r="M120" s="6" t="n"/>
      <ns0:c r="N120" s="6" t="n"/>
      <ns0:c r="O120" s="6" t="n"/>
      <ns0:c r="P120" s="6" t="n"/>
      <ns0:c r="Q120" s="6" t="n"/>
      <ns0:c r="R120" s="6" t="n"/>
    </ns0:row>
    <ns0:row r="121" ht="28" customHeight="1">
      <ns0:c r="A121" s="7" t="inlineStr">
        <ns0:is>
          <ns0:t>Classes →</ns0:t>
        </ns0:is>
      </ns0:c>
      <ns0:c r="B121" s="7" t="inlineStr">
        <ns0:is>
          <ns0:t>Nível</ns0:t>
        </ns0:is>
      </ns0:c>
      <ns0:c r="C121" s="7" t="inlineStr">
        <ns0:is>
          <ns0:t>Regra vertical</ns0:t>
        </ns0:is>
      </ns0:c>
      <ns0:c r="D121" s="7" t="inlineStr">
        <ns0:is>
          <ns0:t>XXXI</ns0:t>
        </ns0:is>
      </ns0:c>
      <ns0:c r="E121" s="7" t="inlineStr">
        <ns0:is>
          <ns0:t>XXXII</ns0:t>
        </ns0:is>
      </ns0:c>
      <ns0:c r="F121" s="7" t="inlineStr">
        <ns0:is>
          <ns0:t>XXXIII</ns0:t>
        </ns0:is>
      </ns0:c>
      <ns0:c r="G121" s="7" t="inlineStr">
        <ns0:is>
          <ns0:t>XXXIV</ns0:t>
        </ns0:is>
      </ns0:c>
      <ns0:c r="H121" s="7" t="inlineStr">
        <ns0:is>
          <ns0:t>XXXV</ns0:t>
        </ns0:is>
      </ns0:c>
      <ns0:c r="I121" s="7" t="inlineStr">
        <ns0:is>
          <ns0:t>XXXVI</ns0:t>
        </ns0:is>
      </ns0:c>
      <ns0:c r="J121" s="7" t="inlineStr">
        <ns0:is>
          <ns0:t>XXXVII</ns0:t>
        </ns0:is>
      </ns0:c>
      <ns0:c r="K121" s="7" t="inlineStr">
        <ns0:is>
          <ns0:t>XXXVIII</ns0:t>
        </ns0:is>
      </ns0:c>
      <ns0:c r="L121" s="7" t="inlineStr">
        <ns0:is>
          <ns0:t>XXXIX</ns0:t>
        </ns0:is>
      </ns0:c>
      <ns0:c r="M121" s="7" t="inlineStr">
        <ns0:is>
          <ns0:t>XL</ns0:t>
        </ns0:is>
      </ns0:c>
      <ns0:c r="N121" s="7" t="inlineStr">
        <ns0:is>
          <ns0:t>XLI</ns0:t>
        </ns0:is>
      </ns0:c>
      <ns0:c r="O121" s="7" t="inlineStr">
        <ns0:is>
          <ns0:t>XLII</ns0:t>
        </ns0:is>
      </ns0:c>
      <ns0:c r="P121" s="7" t="inlineStr">
        <ns0:is>
          <ns0:t>XLIII</ns0:t>
        </ns0:is>
      </ns0:c>
      <ns0:c r="Q121" s="7" t="inlineStr">
        <ns0:is>
          <ns0:t>XLIV</ns0:t>
        </ns0:is>
      </ns0:c>
      <ns0:c r="R121" s="7" t="inlineStr">
        <ns0:is>
          <ns0:t>XLV</ns0:t>
        </ns0:is>
      </ns0:c>
    </ns0:row>
    <ns0:row r="122" ht="26" customHeight="1">
      <ns0:c r="A122" s="3" t="inlineStr">
        <ns0:is>
          <ns0:t>Níveis ↓</ns0:t>
        </ns0:is>
      </ns0:c>
      <ns0:c r="B122" s="3" t="inlineStr">
        <ns0:is>
          <ns0:t>I</ns0:t>
        </ns0:is>
      </ns0:c>
      <ns0:c r="C122" s="3" t="inlineStr">
        <ns0:is>
          <ns0:t>Base</ns0:t>
        </ns0:is>
      </ns0:c>
      <ns0:c r="D122" s="9">
        <ns0:f>'Parâmetros'!C56/100</ns0:f>
        <ns0:v>0.027999999999999997</ns0:v>
      </ns0:c>
      <ns0:c r="E122" s="9">
        <ns0:f>'Parâmetros'!C57/100</ns0:f>
        <ns0:v>0.027999999999999997</ns0:v>
      </ns0:c>
      <ns0:c r="F122" s="9">
        <ns0:f>'Parâmetros'!C58/100</ns0:f>
        <ns0:v>0.027999999999999997</ns0:v>
      </ns0:c>
      <ns0:c r="G122" s="9">
        <ns0:f>'Parâmetros'!C59/100</ns0:f>
        <ns0:v>0.027999999999999997</ns0:v>
      </ns0:c>
      <ns0:c r="H122" s="9">
        <ns0:f>'Parâmetros'!C60/100</ns0:f>
        <ns0:v>0.027999999999999997</ns0:v>
      </ns0:c>
      <ns0:c r="I122" s="9">
        <ns0:f>'Parâmetros'!C61/100</ns0:f>
        <ns0:v>0.027999999999999997</ns0:v>
      </ns0:c>
      <ns0:c r="J122" s="9">
        <ns0:f>'Parâmetros'!C62/100</ns0:f>
        <ns0:v>0.027999999999999997</ns0:v>
      </ns0:c>
      <ns0:c r="K122" s="9">
        <ns0:f>'Parâmetros'!C63/100</ns0:f>
        <ns0:v>0.027999999999999997</ns0:v>
      </ns0:c>
      <ns0:c r="L122" s="9">
        <ns0:f>'Parâmetros'!C64/100</ns0:f>
        <ns0:v>0.027999999999999997</ns0:v>
      </ns0:c>
      <ns0:c r="M122" s="9">
        <ns0:f>'Parâmetros'!C65/100</ns0:f>
        <ns0:v>0.027999999999999997</ns0:v>
      </ns0:c>
      <ns0:c r="N122" s="9">
        <ns0:f>'Parâmetros'!C66/100</ns0:f>
        <ns0:v>0.027999999999999997</ns0:v>
      </ns0:c>
      <ns0:c r="O122" s="9">
        <ns0:f>'Parâmetros'!C67/100</ns0:f>
        <ns0:v>0.027999999999999997</ns0:v>
      </ns0:c>
      <ns0:c r="P122" s="9">
        <ns0:f>'Parâmetros'!C68/100</ns0:f>
        <ns0:v>0.027999999999999997</ns0:v>
      </ns0:c>
      <ns0:c r="Q122" s="9">
        <ns0:f>'Parâmetros'!C69/100</ns0:f>
        <ns0:v>0.027999999999999997</ns0:v>
      </ns0:c>
      <ns0:c r="R122" s="9">
        <ns0:f>'Parâmetros'!C70/100</ns0:f>
        <ns0:v>0.027999999999999997</ns0:v>
      </ns0:c>
    </ns0:row>
    <ns0:row r="123" ht="26" customHeight="1">
      <ns0:c r="B123" s="10" t="inlineStr">
        <ns0:is>
          <ns0:t>II</ns0:t>
        </ns0:is>
      </ns0:c>
      <ns0:c r="C123" s="11" t="str">
        <ns0:f> "+"&amp;TEXT('Parâmetros'!D20,"0.00")&amp;IF('Parâmetros'!C20="valor_fixo"," R$ / ","% / ")&amp;'Parâmetros'!E20</ns0:f>
        <ns0:v>+15.00% / I</ns0:v>
      </ns0:c>
      <ns0:c r="D123" s="13">
        <ns0:f>'Parâmetros'!C56/100</ns0:f>
        <ns0:v>0.027999999999999997</ns0:v>
      </ns0:c>
      <ns0:c r="E123" s="13">
        <ns0:f>'Parâmetros'!C57/100</ns0:f>
        <ns0:v>0.027999999999999997</ns0:v>
      </ns0:c>
      <ns0:c r="F123" s="13">
        <ns0:f>'Parâmetros'!C58/100</ns0:f>
        <ns0:v>0.027999999999999997</ns0:v>
      </ns0:c>
      <ns0:c r="G123" s="13">
        <ns0:f>'Parâmetros'!C59/100</ns0:f>
        <ns0:v>0.027999999999999997</ns0:v>
      </ns0:c>
      <ns0:c r="H123" s="13">
        <ns0:f>'Parâmetros'!C60/100</ns0:f>
        <ns0:v>0.027999999999999997</ns0:v>
      </ns0:c>
      <ns0:c r="I123" s="13">
        <ns0:f>'Parâmetros'!C61/100</ns0:f>
        <ns0:v>0.027999999999999997</ns0:v>
      </ns0:c>
      <ns0:c r="J123" s="13">
        <ns0:f>'Parâmetros'!C62/100</ns0:f>
        <ns0:v>0.027999999999999997</ns0:v>
      </ns0:c>
      <ns0:c r="K123" s="13">
        <ns0:f>'Parâmetros'!C63/100</ns0:f>
        <ns0:v>0.027999999999999997</ns0:v>
      </ns0:c>
      <ns0:c r="L123" s="13">
        <ns0:f>'Parâmetros'!C64/100</ns0:f>
        <ns0:v>0.027999999999999997</ns0:v>
      </ns0:c>
      <ns0:c r="M123" s="13">
        <ns0:f>'Parâmetros'!C65/100</ns0:f>
        <ns0:v>0.027999999999999997</ns0:v>
      </ns0:c>
      <ns0:c r="N123" s="13">
        <ns0:f>'Parâmetros'!C66/100</ns0:f>
        <ns0:v>0.027999999999999997</ns0:v>
      </ns0:c>
      <ns0:c r="O123" s="13">
        <ns0:f>'Parâmetros'!C67/100</ns0:f>
        <ns0:v>0.027999999999999997</ns0:v>
      </ns0:c>
      <ns0:c r="P123" s="13">
        <ns0:f>'Parâmetros'!C68/100</ns0:f>
        <ns0:v>0.027999999999999997</ns0:v>
      </ns0:c>
      <ns0:c r="Q123" s="13">
        <ns0:f>'Parâmetros'!C69/100</ns0:f>
        <ns0:v>0.027999999999999997</ns0:v>
      </ns0:c>
      <ns0:c r="R123" s="13">
        <ns0:f>'Parâmetros'!C70/100</ns0:f>
        <ns0:v>0.027999999999999997</ns0:v>
      </ns0:c>
    </ns0:row>
    <ns0:row r="124" ht="26" customHeight="1">
      <ns0:c r="B124" s="3" t="inlineStr">
        <ns0:is>
          <ns0:t>III</ns0:t>
        </ns0:is>
      </ns0:c>
      <ns0:c r="C124" s="14" t="str">
        <ns0:f> "+"&amp;TEXT('Parâmetros'!D21,"0.00")&amp;IF('Parâmetros'!C21="valor_fixo"," R$ / ","% / ")&amp;'Parâmetros'!E21</ns0:f>
        <ns0:v>+15.00% / II</ns0:v>
      </ns0:c>
      <ns0:c r="D124" s="9">
        <ns0:f>'Parâmetros'!C56/100</ns0:f>
        <ns0:v>0.027999999999999997</ns0:v>
      </ns0:c>
      <ns0:c r="E124" s="9">
        <ns0:f>'Parâmetros'!C57/100</ns0:f>
        <ns0:v>0.027999999999999997</ns0:v>
      </ns0:c>
      <ns0:c r="F124" s="9">
        <ns0:f>'Parâmetros'!C58/100</ns0:f>
        <ns0:v>0.027999999999999997</ns0:v>
      </ns0:c>
      <ns0:c r="G124" s="9">
        <ns0:f>'Parâmetros'!C59/100</ns0:f>
        <ns0:v>0.027999999999999997</ns0:v>
      </ns0:c>
      <ns0:c r="H124" s="9">
        <ns0:f>'Parâmetros'!C60/100</ns0:f>
        <ns0:v>0.027999999999999997</ns0:v>
      </ns0:c>
      <ns0:c r="I124" s="9">
        <ns0:f>'Parâmetros'!C61/100</ns0:f>
        <ns0:v>0.027999999999999997</ns0:v>
      </ns0:c>
      <ns0:c r="J124" s="9">
        <ns0:f>'Parâmetros'!C62/100</ns0:f>
        <ns0:v>0.027999999999999997</ns0:v>
      </ns0:c>
      <ns0:c r="K124" s="9">
        <ns0:f>'Parâmetros'!C63/100</ns0:f>
        <ns0:v>0.027999999999999997</ns0:v>
      </ns0:c>
      <ns0:c r="L124" s="9">
        <ns0:f>'Parâmetros'!C64/100</ns0:f>
        <ns0:v>0.027999999999999997</ns0:v>
      </ns0:c>
      <ns0:c r="M124" s="9">
        <ns0:f>'Parâmetros'!C65/100</ns0:f>
        <ns0:v>0.027999999999999997</ns0:v>
      </ns0:c>
      <ns0:c r="N124" s="9">
        <ns0:f>'Parâmetros'!C66/100</ns0:f>
        <ns0:v>0.027999999999999997</ns0:v>
      </ns0:c>
      <ns0:c r="O124" s="9">
        <ns0:f>'Parâmetros'!C67/100</ns0:f>
        <ns0:v>0.027999999999999997</ns0:v>
      </ns0:c>
      <ns0:c r="P124" s="9">
        <ns0:f>'Parâmetros'!C68/100</ns0:f>
        <ns0:v>0.027999999999999997</ns0:v>
      </ns0:c>
      <ns0:c r="Q124" s="9">
        <ns0:f>'Parâmetros'!C69/100</ns0:f>
        <ns0:v>0.027999999999999997</ns0:v>
      </ns0:c>
      <ns0:c r="R124" s="9">
        <ns0:f>'Parâmetros'!C70/100</ns0:f>
        <ns0:v>0.027999999999999997</ns0:v>
      </ns0:c>
    </ns0:row>
    <ns0:row r="125" ht="26" customHeight="1">
      <ns0:c r="A125" s="15" t="n"/>
      <ns0:c r="B125" s="16" t="inlineStr">
        <ns0:is>
          <ns0:t>IV</ns0:t>
        </ns0:is>
      </ns0:c>
      <ns0:c r="C125" s="17" t="str">
        <ns0:f> "+"&amp;TEXT('Parâmetros'!D22,"0.00")&amp;IF('Parâmetros'!C22="valor_fixo"," R$ / ","% / ")&amp;'Parâmetros'!E22</ns0:f>
        <ns0:v>+15.00% / III</ns0:v>
      </ns0:c>
      <ns0:c r="D125" s="19">
        <ns0:f>'Parâmetros'!C56/100</ns0:f>
        <ns0:v>0.027999999999999997</ns0:v>
      </ns0:c>
      <ns0:c r="E125" s="19">
        <ns0:f>'Parâmetros'!C57/100</ns0:f>
        <ns0:v>0.027999999999999997</ns0:v>
      </ns0:c>
      <ns0:c r="F125" s="19">
        <ns0:f>'Parâmetros'!C58/100</ns0:f>
        <ns0:v>0.027999999999999997</ns0:v>
      </ns0:c>
      <ns0:c r="G125" s="19">
        <ns0:f>'Parâmetros'!C59/100</ns0:f>
        <ns0:v>0.027999999999999997</ns0:v>
      </ns0:c>
      <ns0:c r="H125" s="19">
        <ns0:f>'Parâmetros'!C60/100</ns0:f>
        <ns0:v>0.027999999999999997</ns0:v>
      </ns0:c>
      <ns0:c r="I125" s="19">
        <ns0:f>'Parâmetros'!C61/100</ns0:f>
        <ns0:v>0.027999999999999997</ns0:v>
      </ns0:c>
      <ns0:c r="J125" s="19">
        <ns0:f>'Parâmetros'!C62/100</ns0:f>
        <ns0:v>0.027999999999999997</ns0:v>
      </ns0:c>
      <ns0:c r="K125" s="19">
        <ns0:f>'Parâmetros'!C63/100</ns0:f>
        <ns0:v>0.027999999999999997</ns0:v>
      </ns0:c>
      <ns0:c r="L125" s="19">
        <ns0:f>'Parâmetros'!C64/100</ns0:f>
        <ns0:v>0.027999999999999997</ns0:v>
      </ns0:c>
      <ns0:c r="M125" s="19">
        <ns0:f>'Parâmetros'!C65/100</ns0:f>
        <ns0:v>0.027999999999999997</ns0:v>
      </ns0:c>
      <ns0:c r="N125" s="19">
        <ns0:f>'Parâmetros'!C66/100</ns0:f>
        <ns0:v>0.027999999999999997</ns0:v>
      </ns0:c>
      <ns0:c r="O125" s="19">
        <ns0:f>'Parâmetros'!C67/100</ns0:f>
        <ns0:v>0.027999999999999997</ns0:v>
      </ns0:c>
      <ns0:c r="P125" s="19">
        <ns0:f>'Parâmetros'!C68/100</ns0:f>
        <ns0:v>0.027999999999999997</ns0:v>
      </ns0:c>
      <ns0:c r="Q125" s="19">
        <ns0:f>'Parâmetros'!C69/100</ns0:f>
        <ns0:v>0.027999999999999997</ns0:v>
      </ns0:c>
      <ns0:c r="R125" s="19">
        <ns0:f>'Parâmetros'!C70/100</ns0:f>
        <ns0:v>0.027999999999999997</ns0:v>
      </ns0:c>
    </ns0:row>
    <ns0:row r="128" ht="28" customHeight="1">
      <ns0:c r="A128" s="5" t="inlineStr">
        <ns0:is>
          <ns0:t>• TABELA DE VENCIMENTOS 2026 •</ns0:t>
        </ns0:is>
      </ns0:c>
      <ns0:c r="B128" s="5" t="n"/>
      <ns0:c r="C128" s="5" t="n"/>
      <ns0:c r="D128" s="5" t="n"/>
      <ns0:c r="E128" s="5" t="n"/>
      <ns0:c r="F128" s="5" t="n"/>
      <ns0:c r="G128" s="5" t="n"/>
      <ns0:c r="H128" s="5" t="n"/>
      <ns0:c r="I128" s="5" t="n"/>
      <ns0:c r="J128" s="5" t="n"/>
      <ns0:c r="K128" s="5" t="n"/>
      <ns0:c r="L128" s="5" t="n"/>
      <ns0:c r="M128" s="5" t="n"/>
      <ns0:c r="N128" s="5" t="n"/>
      <ns0:c r="O128" s="5" t="n"/>
      <ns0:c r="P128" s="5" t="n"/>
      <ns0:c r="Q128" s="5" t="n"/>
      <ns0:c r="R128" s="5" t="n"/>
    </ns0:row>
    <ns0:row r="129" ht="24" customHeight="1">
      <ns0:c r="A129" s="6" t="inlineStr">
        <ns0:is>
          <ns0:t>AUXILIAR ADMINISTRATIVO OPERACIONAL — 40 HORAS</ns0:t>
        </ns0:is>
      </ns0:c>
      <ns0:c r="B129" s="6" t="n"/>
      <ns0:c r="C129" s="6" t="n"/>
      <ns0:c r="D129" s="6" t="n"/>
      <ns0:c r="E129" s="6" t="n"/>
      <ns0:c r="F129" s="6" t="n"/>
      <ns0:c r="G129" s="6" t="n"/>
      <ns0:c r="H129" s="6" t="n"/>
      <ns0:c r="I129" s="6" t="n"/>
      <ns0:c r="J129" s="6" t="n"/>
      <ns0:c r="K129" s="6" t="n"/>
      <ns0:c r="L129" s="6" t="n"/>
      <ns0:c r="M129" s="6" t="n"/>
      <ns0:c r="N129" s="6" t="n"/>
      <ns0:c r="O129" s="6" t="n"/>
      <ns0:c r="P129" s="6" t="n"/>
      <ns0:c r="Q129" s="6" t="n"/>
      <ns0:c r="R129" s="6" t="n"/>
    </ns0:row>
    <ns0:row r="130" ht="28" customHeight="1">
      <ns0:c r="A130" s="7" t="inlineStr">
        <ns0:is>
          <ns0:t>Classes →</ns0:t>
        </ns0:is>
      </ns0:c>
      <ns0:c r="B130" s="7" t="inlineStr">
        <ns0:is>
          <ns0:t>Nível</ns0:t>
        </ns0:is>
      </ns0:c>
      <ns0:c r="C130" s="7" t="inlineStr">
        <ns0:is>
          <ns0:t>Regra vertical</ns0:t>
        </ns0:is>
      </ns0:c>
      <ns0:c r="D130" s="7" t="inlineStr">
        <ns0:is>
          <ns0:t>XXXI</ns0:t>
        </ns0:is>
      </ns0:c>
      <ns0:c r="E130" s="7" t="inlineStr">
        <ns0:is>
          <ns0:t>XXXII</ns0:t>
        </ns0:is>
      </ns0:c>
      <ns0:c r="F130" s="7" t="inlineStr">
        <ns0:is>
          <ns0:t>XXXIII</ns0:t>
        </ns0:is>
      </ns0:c>
      <ns0:c r="G130" s="7" t="inlineStr">
        <ns0:is>
          <ns0:t>XXXIV</ns0:t>
        </ns0:is>
      </ns0:c>
      <ns0:c r="H130" s="7" t="inlineStr">
        <ns0:is>
          <ns0:t>XXXV</ns0:t>
        </ns0:is>
      </ns0:c>
      <ns0:c r="I130" s="7" t="inlineStr">
        <ns0:is>
          <ns0:t>XXXVI</ns0:t>
        </ns0:is>
      </ns0:c>
      <ns0:c r="J130" s="7" t="inlineStr">
        <ns0:is>
          <ns0:t>XXXVII</ns0:t>
        </ns0:is>
      </ns0:c>
      <ns0:c r="K130" s="7" t="inlineStr">
        <ns0:is>
          <ns0:t>XXXVIII</ns0:t>
        </ns0:is>
      </ns0:c>
      <ns0:c r="L130" s="7" t="inlineStr">
        <ns0:is>
          <ns0:t>XXXIX</ns0:t>
        </ns0:is>
      </ns0:c>
      <ns0:c r="M130" s="7" t="inlineStr">
        <ns0:is>
          <ns0:t>XL</ns0:t>
        </ns0:is>
      </ns0:c>
      <ns0:c r="N130" s="7" t="inlineStr">
        <ns0:is>
          <ns0:t>XLI</ns0:t>
        </ns0:is>
      </ns0:c>
      <ns0:c r="O130" s="7" t="inlineStr">
        <ns0:is>
          <ns0:t>XLII</ns0:t>
        </ns0:is>
      </ns0:c>
      <ns0:c r="P130" s="7" t="inlineStr">
        <ns0:is>
          <ns0:t>XLIII</ns0:t>
        </ns0:is>
      </ns0:c>
      <ns0:c r="Q130" s="7" t="inlineStr">
        <ns0:is>
          <ns0:t>XLIV</ns0:t>
        </ns0:is>
      </ns0:c>
      <ns0:c r="R130" s="7" t="inlineStr">
        <ns0:is>
          <ns0:t>XLV</ns0:t>
        </ns0:is>
      </ns0:c>
    </ns0:row>
    <ns0:row r="131" ht="26" customHeight="1">
      <ns0:c r="A131" s="3" t="inlineStr">
        <ns0:is>
          <ns0:t>Níveis ↓</ns0:t>
        </ns0:is>
      </ns0:c>
      <ns0:c r="B131" s="3" t="inlineStr">
        <ns0:is>
          <ns0:t>I</ns0:t>
        </ns0:is>
      </ns0:c>
      <ns0:c r="C131" s="3" t="inlineStr">
        <ns0:is>
          <ns0:t>Base</ns0:t>
        </ns0:is>
      </ns0:c>
      <ns0:c r="D131" s="4">
        <ns0:f>'Dados originais'!AH4</ns0:f>
        <ns0:v>4992.73</ns0:v>
      </ns0:c>
      <ns0:c r="E131" s="4">
        <ns0:f>'Dados originais'!AI4</ns0:f>
        <ns0:v>5132.52</ns0:v>
      </ns0:c>
      <ns0:c r="F131" s="4">
        <ns0:f>'Dados originais'!AJ4</ns0:f>
        <ns0:v>5276.23</ns0:v>
      </ns0:c>
      <ns0:c r="G131" s="4">
        <ns0:f>'Dados originais'!AK4</ns0:f>
        <ns0:v>5423.97</ns0:v>
      </ns0:c>
      <ns0:c r="H131" s="4">
        <ns0:f>'Dados originais'!AL4</ns0:f>
        <ns0:v>5575.84</ns0:v>
      </ns0:c>
      <ns0:c r="I131" s="4">
        <ns0:f>'Dados originais'!AM4</ns0:f>
        <ns0:v>5731.96</ns0:v>
      </ns0:c>
      <ns0:c r="J131" s="4">
        <ns0:f>'Dados originais'!AN4</ns0:f>
        <ns0:v>5892.46</ns0:v>
      </ns0:c>
      <ns0:c r="K131" s="4">
        <ns0:f>'Dados originais'!AO4</ns0:f>
        <ns0:v>6057.45</ns0:v>
      </ns0:c>
      <ns0:c r="L131" s="4">
        <ns0:f>'Dados originais'!AP4</ns0:f>
        <ns0:v>6227.05</ns0:v>
      </ns0:c>
      <ns0:c r="M131" s="4">
        <ns0:f>'Dados originais'!AQ4</ns0:f>
        <ns0:v>6401.41</ns0:v>
      </ns0:c>
      <ns0:c r="N131" s="4">
        <ns0:f>'Dados originais'!AR4</ns0:f>
        <ns0:v>6580.65</ns0:v>
      </ns0:c>
      <ns0:c r="O131" s="4">
        <ns0:f>'Dados originais'!AS4</ns0:f>
        <ns0:v>6764.91</ns0:v>
      </ns0:c>
      <ns0:c r="P131" s="4">
        <ns0:f>'Dados originais'!AT4</ns0:f>
        <ns0:v>6954.33</ns0:v>
      </ns0:c>
      <ns0:c r="Q131" s="4">
        <ns0:f>'Dados originais'!AU4</ns0:f>
        <ns0:v>7149.05</ns0:v>
      </ns0:c>
      <ns0:c r="R131" s="4">
        <ns0:f>'Dados originais'!AV4</ns0:f>
        <ns0:v>7349.22</ns0:v>
      </ns0:c>
    </ns0:row>
    <ns0:row r="132" ht="26" customHeight="1">
      <ns0:c r="B132" s="10" t="inlineStr">
        <ns0:is>
          <ns0:t>II</ns0:t>
        </ns0:is>
      </ns0:c>
      <ns0:c r="C132" s="11" t="str">
        <ns0:f> "+"&amp;TEXT('Parâmetros'!D20,"0.00")&amp;IF('Parâmetros'!C20="valor_fixo"," R$ / ","% / ")&amp;'Parâmetros'!E20</ns0:f>
        <ns0:v>+15.00% / I</ns0:v>
      </ns0:c>
      <ns0:c r="D132" s="20">
        <ns0:f>'Dados originais'!AH5</ns0:f>
        <ns0:v>5741.63</ns0:v>
      </ns0:c>
      <ns0:c r="E132" s="20">
        <ns0:f>'Dados originais'!AI5</ns0:f>
        <ns0:v>5902.4</ns0:v>
      </ns0:c>
      <ns0:c r="F132" s="20">
        <ns0:f>'Dados originais'!AJ5</ns0:f>
        <ns0:v>6067.67</ns0:v>
      </ns0:c>
      <ns0:c r="G132" s="20">
        <ns0:f>'Dados originais'!AK5</ns0:f>
        <ns0:v>6237.56</ns0:v>
      </ns0:c>
      <ns0:c r="H132" s="20">
        <ns0:f>'Dados originais'!AL5</ns0:f>
        <ns0:v>6412.21</ns0:v>
      </ns0:c>
      <ns0:c r="I132" s="20">
        <ns0:f>'Dados originais'!AM5</ns0:f>
        <ns0:v>6591.76</ns0:v>
      </ns0:c>
      <ns0:c r="J132" s="20">
        <ns0:f>'Dados originais'!AN5</ns0:f>
        <ns0:v>6776.32</ns0:v>
      </ns0:c>
      <ns0:c r="K132" s="20">
        <ns0:f>'Dados originais'!AO5</ns0:f>
        <ns0:v>6966.06</ns0:v>
      </ns0:c>
      <ns0:c r="L132" s="20">
        <ns0:f>'Dados originais'!AP5</ns0:f>
        <ns0:v>7161.11</ns0:v>
      </ns0:c>
      <ns0:c r="M132" s="20">
        <ns0:f>'Dados originais'!AQ5</ns0:f>
        <ns0:v>7361.62</ns0:v>
      </ns0:c>
      <ns0:c r="N132" s="20">
        <ns0:f>'Dados originais'!AR5</ns0:f>
        <ns0:v>7567.75</ns0:v>
      </ns0:c>
      <ns0:c r="O132" s="20">
        <ns0:f>'Dados originais'!AS5</ns0:f>
        <ns0:v>7779.65</ns0:v>
      </ns0:c>
      <ns0:c r="P132" s="20">
        <ns0:f>'Dados originais'!AT5</ns0:f>
        <ns0:v>7997.48</ns0:v>
      </ns0:c>
      <ns0:c r="Q132" s="20">
        <ns0:f>'Dados originais'!AU5</ns0:f>
        <ns0:v>8221.4</ns0:v>
      </ns0:c>
      <ns0:c r="R132" s="20">
        <ns0:f>'Dados originais'!AV5</ns0:f>
        <ns0:v>8451.6</ns0:v>
      </ns0:c>
    </ns0:row>
    <ns0:row r="133" ht="26" customHeight="1">
      <ns0:c r="B133" s="3" t="inlineStr">
        <ns0:is>
          <ns0:t>III</ns0:t>
        </ns0:is>
      </ns0:c>
      <ns0:c r="C133" s="14" t="str">
        <ns0:f> "+"&amp;TEXT('Parâmetros'!D21,"0.00")&amp;IF('Parâmetros'!C21="valor_fixo"," R$ / ","% / ")&amp;'Parâmetros'!E21</ns0:f>
        <ns0:v>+15.00% / II</ns0:v>
      </ns0:c>
      <ns0:c r="D133" s="4">
        <ns0:f>'Dados originais'!AH6</ns0:f>
        <ns0:v>6602.88</ns0:v>
      </ns0:c>
      <ns0:c r="E133" s="4">
        <ns0:f>'Dados originais'!AI6</ns0:f>
        <ns0:v>6787.76</ns0:v>
      </ns0:c>
      <ns0:c r="F133" s="4">
        <ns0:f>'Dados originais'!AJ6</ns0:f>
        <ns0:v>6977.82</ns0:v>
      </ns0:c>
      <ns0:c r="G133" s="4">
        <ns0:f>'Dados originais'!AK6</ns0:f>
        <ns0:v>7173.2</ns0:v>
      </ns0:c>
      <ns0:c r="H133" s="4">
        <ns0:f>'Dados originais'!AL6</ns0:f>
        <ns0:v>7374.05</ns0:v>
      </ns0:c>
      <ns0:c r="I133" s="4">
        <ns0:f>'Dados originais'!AM6</ns0:f>
        <ns0:v>7580.52</ns0:v>
      </ns0:c>
      <ns0:c r="J133" s="4">
        <ns0:f>'Dados originais'!AN6</ns0:f>
        <ns0:v>7792.77</ns0:v>
      </ns0:c>
      <ns0:c r="K133" s="4">
        <ns0:f>'Dados originais'!AO6</ns0:f>
        <ns0:v>8010.97</ns0:v>
      </ns0:c>
      <ns0:c r="L133" s="4">
        <ns0:f>'Dados originais'!AP6</ns0:f>
        <ns0:v>8235.28</ns0:v>
      </ns0:c>
      <ns0:c r="M133" s="4">
        <ns0:f>'Dados originais'!AQ6</ns0:f>
        <ns0:v>8465.87</ns0:v>
      </ns0:c>
      <ns0:c r="N133" s="4">
        <ns0:f>'Dados originais'!AR6</ns0:f>
        <ns0:v>8702.91</ns0:v>
      </ns0:c>
      <ns0:c r="O133" s="4">
        <ns0:f>'Dados originais'!AS6</ns0:f>
        <ns0:v>8946.59</ns0:v>
      </ns0:c>
      <ns0:c r="P133" s="4">
        <ns0:f>'Dados originais'!AT6</ns0:f>
        <ns0:v>9197.1</ns0:v>
      </ns0:c>
      <ns0:c r="Q133" s="4">
        <ns0:f>'Dados originais'!AU6</ns0:f>
        <ns0:v>9454.62</ns0:v>
      </ns0:c>
      <ns0:c r="R133" s="4">
        <ns0:f>'Dados originais'!AV6</ns0:f>
        <ns0:v>9719.35</ns0:v>
      </ns0:c>
    </ns0:row>
    <ns0:row r="134" ht="26" customHeight="1">
      <ns0:c r="A134" s="15" t="n"/>
      <ns0:c r="B134" s="16" t="inlineStr">
        <ns0:is>
          <ns0:t>IV</ns0:t>
        </ns0:is>
      </ns0:c>
      <ns0:c r="C134" s="17" t="str">
        <ns0:f> "+"&amp;TEXT('Parâmetros'!D22,"0.00")&amp;IF('Parâmetros'!C22="valor_fixo"," R$ / ","% / ")&amp;'Parâmetros'!E22</ns0:f>
        <ns0:v>+15.00% / III</ns0:v>
      </ns0:c>
      <ns0:c r="D134" s="21">
        <ns0:f>'Dados originais'!AH7</ns0:f>
        <ns0:v>7593.31</ns0:v>
      </ns0:c>
      <ns0:c r="E134" s="21">
        <ns0:f>'Dados originais'!AI7</ns0:f>
        <ns0:v>7805.92</ns0:v>
      </ns0:c>
      <ns0:c r="F134" s="21">
        <ns0:f>'Dados originais'!AJ7</ns0:f>
        <ns0:v>8024.49</ns0:v>
      </ns0:c>
      <ns0:c r="G134" s="21">
        <ns0:f>'Dados originais'!AK7</ns0:f>
        <ns0:v>8249.18</ns0:v>
      </ns0:c>
      <ns0:c r="H134" s="21">
        <ns0:f>'Dados originais'!AL7</ns0:f>
        <ns0:v>8480.15</ns0:v>
      </ns0:c>
      <ns0:c r="I134" s="21">
        <ns0:f>'Dados originais'!AM7</ns0:f>
        <ns0:v>8717.6</ns0:v>
      </ns0:c>
      <ns0:c r="J134" s="21">
        <ns0:f>'Dados originais'!AN7</ns0:f>
        <ns0:v>8961.69</ns0:v>
      </ns0:c>
      <ns0:c r="K134" s="21">
        <ns0:f>'Dados originais'!AO7</ns0:f>
        <ns0:v>9212.62</ns0:v>
      </ns0:c>
      <ns0:c r="L134" s="21">
        <ns0:f>'Dados originais'!AP7</ns0:f>
        <ns0:v>9470.57</ns0:v>
      </ns0:c>
      <ns0:c r="M134" s="21">
        <ns0:f>'Dados originais'!AQ7</ns0:f>
        <ns0:v>9735.75</ns0:v>
      </ns0:c>
      <ns0:c r="N134" s="21">
        <ns0:f>'Dados originais'!AR7</ns0:f>
        <ns0:v>10008.35</ns0:v>
      </ns0:c>
      <ns0:c r="O134" s="21">
        <ns0:f>'Dados originais'!AS7</ns0:f>
        <ns0:v>10288.58</ns0:v>
      </ns0:c>
      <ns0:c r="P134" s="21">
        <ns0:f>'Dados originais'!AT7</ns0:f>
        <ns0:v>10576.66</ns0:v>
      </ns0:c>
      <ns0:c r="Q134" s="21">
        <ns0:f>'Dados originais'!AU7</ns0:f>
        <ns0:v>10872.81</ns0:v>
      </ns0:c>
      <ns0:c r="R134" s="21">
        <ns0:f>'Dados originais'!AV7</ns0:f>
        <ns0:v>11177.25</ns0:v>
      </ns0:c>
    </ns0:row>
    <ns0:row r="137" ht="28" customHeight="1">
      <ns0:c r="A137" s="22" t="inlineStr">
        <ns0:is>
          <ns0:t>• TABELA DE VENCIMENTOS — REFERÊNCIA Cenário didático: base inicial +5% •</ns0:t>
        </ns0:is>
      </ns0:c>
      <ns0:c r="B137" s="22" t="n"/>
      <ns0:c r="C137" s="22" t="n"/>
      <ns0:c r="D137" s="22" t="n"/>
      <ns0:c r="E137" s="22" t="n"/>
      <ns0:c r="F137" s="22" t="n"/>
      <ns0:c r="G137" s="22" t="n"/>
      <ns0:c r="H137" s="22" t="n"/>
      <ns0:c r="I137" s="22" t="n"/>
      <ns0:c r="J137" s="22" t="n"/>
      <ns0:c r="K137" s="22" t="n"/>
      <ns0:c r="L137" s="22" t="n"/>
      <ns0:c r="M137" s="22" t="n"/>
      <ns0:c r="N137" s="22" t="n"/>
      <ns0:c r="O137" s="22" t="n"/>
      <ns0:c r="P137" s="22" t="n"/>
      <ns0:c r="Q137" s="22" t="n"/>
      <ns0:c r="R137" s="22" t="n"/>
    </ns0:row>
    <ns0:row r="138" ht="24" customHeight="1">
      <ns0:c r="A138" s="23" t="inlineStr">
        <ns0:is>
          <ns0:t>AUXILIAR ADMINISTRATIVO OPERACIONAL — 40 HORAS</ns0:t>
        </ns0:is>
      </ns0:c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</ns0:row>
    <ns0:row r="139" ht="28" customHeight="1">
      <ns0:c r="A139" s="24" t="inlineStr">
        <ns0:is>
          <ns0:t>Classes →</ns0:t>
        </ns0:is>
      </ns0:c>
      <ns0:c r="B139" s="24" t="inlineStr">
        <ns0:is>
          <ns0:t>Nível</ns0:t>
        </ns0:is>
      </ns0:c>
      <ns0:c r="C139" s="24" t="inlineStr">
        <ns0:is>
          <ns0:t>Regra vertical</ns0:t>
        </ns0:is>
      </ns0:c>
      <ns0:c r="D139" s="24" t="inlineStr">
        <ns0:is>
          <ns0:t>XXXI</ns0:t>
        </ns0:is>
      </ns0:c>
      <ns0:c r="E139" s="24" t="inlineStr">
        <ns0:is>
          <ns0:t>XXXII</ns0:t>
        </ns0:is>
      </ns0:c>
      <ns0:c r="F139" s="24" t="inlineStr">
        <ns0:is>
          <ns0:t>XXXIII</ns0:t>
        </ns0:is>
      </ns0:c>
      <ns0:c r="G139" s="24" t="inlineStr">
        <ns0:is>
          <ns0:t>XXXIV</ns0:t>
        </ns0:is>
      </ns0:c>
      <ns0:c r="H139" s="24" t="inlineStr">
        <ns0:is>
          <ns0:t>XXXV</ns0:t>
        </ns0:is>
      </ns0:c>
      <ns0:c r="I139" s="24" t="inlineStr">
        <ns0:is>
          <ns0:t>XXXVI</ns0:t>
        </ns0:is>
      </ns0:c>
      <ns0:c r="J139" s="24" t="inlineStr">
        <ns0:is>
          <ns0:t>XXXVII</ns0:t>
        </ns0:is>
      </ns0:c>
      <ns0:c r="K139" s="24" t="inlineStr">
        <ns0:is>
          <ns0:t>XXXVIII</ns0:t>
        </ns0:is>
      </ns0:c>
      <ns0:c r="L139" s="24" t="inlineStr">
        <ns0:is>
          <ns0:t>XXXIX</ns0:t>
        </ns0:is>
      </ns0:c>
      <ns0:c r="M139" s="24" t="inlineStr">
        <ns0:is>
          <ns0:t>XL</ns0:t>
        </ns0:is>
      </ns0:c>
      <ns0:c r="N139" s="24" t="inlineStr">
        <ns0:is>
          <ns0:t>XLI</ns0:t>
        </ns0:is>
      </ns0:c>
      <ns0:c r="O139" s="24" t="inlineStr">
        <ns0:is>
          <ns0:t>XLII</ns0:t>
        </ns0:is>
      </ns0:c>
      <ns0:c r="P139" s="24" t="inlineStr">
        <ns0:is>
          <ns0:t>XLIII</ns0:t>
        </ns0:is>
      </ns0:c>
      <ns0:c r="Q139" s="24" t="inlineStr">
        <ns0:is>
          <ns0:t>XLIV</ns0:t>
        </ns0:is>
      </ns0:c>
      <ns0:c r="R139" s="24" t="inlineStr">
        <ns0:is>
          <ns0:t>XLV</ns0:t>
        </ns0:is>
      </ns0:c>
    </ns0:row>
    <ns0:row r="140" ht="26" customHeight="1">
      <ns0:c r="A140" s="3" t="inlineStr">
        <ns0:is>
          <ns0:t>Níveis ↓</ns0:t>
        </ns0:is>
      </ns0:c>
      <ns0:c r="B140" s="3" t="inlineStr">
        <ns0:is>
          <ns0:t>I</ns0:t>
        </ns0:is>
      </ns0:c>
      <ns0:c r="C140" s="3" t="inlineStr">
        <ns0:is>
          <ns0:t>Base</ns0:t>
        </ns0:is>
      </ns0:c>
      <ns0:c r="D140" s="4">
        <ns0:f>IF('Parâmetros'!$B$12="truncar",ROUNDDOWN(R84*(1+'Parâmetros'!C56/100),2),ROUND(R84*(1+'Parâmetros'!C56/100),2))</ns0:f>
        <ns0:v>5242.31</ns0:v>
      </ns0:c>
      <ns0:c r="E140" s="4">
        <ns0:f>IF('Parâmetros'!$B$12="truncar",ROUNDDOWN(D140*(1+'Parâmetros'!C57/100),2),ROUND(D140*(1+'Parâmetros'!C57/100),2))</ns0:f>
        <ns0:v>5389.09</ns0:v>
      </ns0:c>
      <ns0:c r="F140" s="4">
        <ns0:f>IF('Parâmetros'!$B$12="truncar",ROUNDDOWN(E140*(1+'Parâmetros'!C58/100),2),ROUND(E140*(1+'Parâmetros'!C58/100),2))</ns0:f>
        <ns0:v>5539.98</ns0:v>
      </ns0:c>
      <ns0:c r="G140" s="4">
        <ns0:f>IF('Parâmetros'!$B$12="truncar",ROUNDDOWN(F140*(1+'Parâmetros'!C59/100),2),ROUND(F140*(1+'Parâmetros'!C59/100),2))</ns0:f>
        <ns0:v>5695.1</ns0:v>
      </ns0:c>
      <ns0:c r="H140" s="4">
        <ns0:f>IF('Parâmetros'!$B$12="truncar",ROUNDDOWN(G140*(1+'Parâmetros'!C60/100),2),ROUND(G140*(1+'Parâmetros'!C60/100),2))</ns0:f>
        <ns0:v>5854.56</ns0:v>
      </ns0:c>
      <ns0:c r="I140" s="4">
        <ns0:f>IF('Parâmetros'!$B$12="truncar",ROUNDDOWN(H140*(1+'Parâmetros'!C61/100),2),ROUND(H140*(1+'Parâmetros'!C61/100),2))</ns0:f>
        <ns0:v>6018.49</ns0:v>
      </ns0:c>
      <ns0:c r="J140" s="4">
        <ns0:f>IF('Parâmetros'!$B$12="truncar",ROUNDDOWN(I140*(1+'Parâmetros'!C62/100),2),ROUND(I140*(1+'Parâmetros'!C62/100),2))</ns0:f>
        <ns0:v>6187.01</ns0:v>
      </ns0:c>
      <ns0:c r="K140" s="4">
        <ns0:f>IF('Parâmetros'!$B$12="truncar",ROUNDDOWN(J140*(1+'Parâmetros'!C63/100),2),ROUND(J140*(1+'Parâmetros'!C63/100),2))</ns0:f>
        <ns0:v>6360.25</ns0:v>
      </ns0:c>
      <ns0:c r="L140" s="4">
        <ns0:f>IF('Parâmetros'!$B$12="truncar",ROUNDDOWN(K140*(1+'Parâmetros'!C64/100),2),ROUND(K140*(1+'Parâmetros'!C64/100),2))</ns0:f>
        <ns0:v>6538.34</ns0:v>
      </ns0:c>
      <ns0:c r="M140" s="4">
        <ns0:f>IF('Parâmetros'!$B$12="truncar",ROUNDDOWN(L140*(1+'Parâmetros'!C65/100),2),ROUND(L140*(1+'Parâmetros'!C65/100),2))</ns0:f>
        <ns0:v>6721.41</ns0:v>
      </ns0:c>
      <ns0:c r="N140" s="4">
        <ns0:f>IF('Parâmetros'!$B$12="truncar",ROUNDDOWN(M140*(1+'Parâmetros'!C66/100),2),ROUND(M140*(1+'Parâmetros'!C66/100),2))</ns0:f>
        <ns0:v>6909.61</ns0:v>
      </ns0:c>
      <ns0:c r="O140" s="4">
        <ns0:f>IF('Parâmetros'!$B$12="truncar",ROUNDDOWN(N140*(1+'Parâmetros'!C67/100),2),ROUND(N140*(1+'Parâmetros'!C67/100),2))</ns0:f>
        <ns0:v>7103.08</ns0:v>
      </ns0:c>
      <ns0:c r="P140" s="4">
        <ns0:f>IF('Parâmetros'!$B$12="truncar",ROUNDDOWN(O140*(1+'Parâmetros'!C68/100),2),ROUND(O140*(1+'Parâmetros'!C68/100),2))</ns0:f>
        <ns0:v>7301.97</ns0:v>
      </ns0:c>
      <ns0:c r="Q140" s="4">
        <ns0:f>IF('Parâmetros'!$B$12="truncar",ROUNDDOWN(P140*(1+'Parâmetros'!C69/100),2),ROUND(P140*(1+'Parâmetros'!C69/100),2))</ns0:f>
        <ns0:v>7506.43</ns0:v>
      </ns0:c>
      <ns0:c r="R140" s="4">
        <ns0:f>IF('Parâmetros'!$B$12="truncar",ROUNDDOWN(Q140*(1+'Parâmetros'!C70/100),2),ROUND(Q140*(1+'Parâmetros'!C70/100),2))</ns0:f>
        <ns0:v>7716.61</ns0:v>
      </ns0:c>
    </ns0:row>
    <ns0:row r="141" ht="26" customHeight="1">
      <ns0:c r="B141" s="25" t="inlineStr">
        <ns0:is>
          <ns0:t>II</ns0:t>
        </ns0:is>
      </ns0:c>
      <ns0:c r="C141" s="26" t="str">
        <ns0:f> "+"&amp;TEXT('Parâmetros'!D20,"0.00")&amp;IF('Parâmetros'!C20="valor_fixo"," R$ / ","% / ")&amp;'Parâmetros'!E20</ns0:f>
        <ns0:v>+15.00% / I</ns0:v>
      </ns0:c>
      <ns0:c r="D141" s="27">
        <ns0:f>IF('Parâmetros'!$B$12="truncar",ROUNDDOWN(R85*(1+'Parâmetros'!C56/100),2),ROUND(R85*(1+'Parâmetros'!C56/100),2))</ns0:f>
        <ns0:v>6028.72</ns0:v>
      </ns0:c>
      <ns0:c r="E141" s="27">
        <ns0:f>IF('Parâmetros'!$B$12="truncar",ROUNDDOWN(D141*(1+'Parâmetros'!C57/100),2),ROUND(D141*(1+'Parâmetros'!C57/100),2))</ns0:f>
        <ns0:v>6197.52</ns0:v>
      </ns0:c>
      <ns0:c r="F141" s="27">
        <ns0:f>IF('Parâmetros'!$B$12="truncar",ROUNDDOWN(E141*(1+'Parâmetros'!C58/100),2),ROUND(E141*(1+'Parâmetros'!C58/100),2))</ns0:f>
        <ns0:v>6371.05</ns0:v>
      </ns0:c>
      <ns0:c r="G141" s="27">
        <ns0:f>IF('Parâmetros'!$B$12="truncar",ROUNDDOWN(F141*(1+'Parâmetros'!C59/100),2),ROUND(F141*(1+'Parâmetros'!C59/100),2))</ns0:f>
        <ns0:v>6549.44</ns0:v>
      </ns0:c>
      <ns0:c r="H141" s="27">
        <ns0:f>IF('Parâmetros'!$B$12="truncar",ROUNDDOWN(G141*(1+'Parâmetros'!C60/100),2),ROUND(G141*(1+'Parâmetros'!C60/100),2))</ns0:f>
        <ns0:v>6732.82</ns0:v>
      </ns0:c>
      <ns0:c r="I141" s="27">
        <ns0:f>IF('Parâmetros'!$B$12="truncar",ROUNDDOWN(H141*(1+'Parâmetros'!C61/100),2),ROUND(H141*(1+'Parâmetros'!C61/100),2))</ns0:f>
        <ns0:v>6921.34</ns0:v>
      </ns0:c>
      <ns0:c r="J141" s="27">
        <ns0:f>IF('Parâmetros'!$B$12="truncar",ROUNDDOWN(I141*(1+'Parâmetros'!C62/100),2),ROUND(I141*(1+'Parâmetros'!C62/100),2))</ns0:f>
        <ns0:v>7115.14</ns0:v>
      </ns0:c>
      <ns0:c r="K141" s="27">
        <ns0:f>IF('Parâmetros'!$B$12="truncar",ROUNDDOWN(J141*(1+'Parâmetros'!C63/100),2),ROUND(J141*(1+'Parâmetros'!C63/100),2))</ns0:f>
        <ns0:v>7314.36</ns0:v>
      </ns0:c>
      <ns0:c r="L141" s="27">
        <ns0:f>IF('Parâmetros'!$B$12="truncar",ROUNDDOWN(K141*(1+'Parâmetros'!C64/100),2),ROUND(K141*(1+'Parâmetros'!C64/100),2))</ns0:f>
        <ns0:v>7519.16</ns0:v>
      </ns0:c>
      <ns0:c r="M141" s="27">
        <ns0:f>IF('Parâmetros'!$B$12="truncar",ROUNDDOWN(L141*(1+'Parâmetros'!C65/100),2),ROUND(L141*(1+'Parâmetros'!C65/100),2))</ns0:f>
        <ns0:v>7729.7</ns0:v>
      </ns0:c>
      <ns0:c r="N141" s="27">
        <ns0:f>IF('Parâmetros'!$B$12="truncar",ROUNDDOWN(M141*(1+'Parâmetros'!C66/100),2),ROUND(M141*(1+'Parâmetros'!C66/100),2))</ns0:f>
        <ns0:v>7946.13</ns0:v>
      </ns0:c>
      <ns0:c r="O141" s="27">
        <ns0:f>IF('Parâmetros'!$B$12="truncar",ROUNDDOWN(N141*(1+'Parâmetros'!C67/100),2),ROUND(N141*(1+'Parâmetros'!C67/100),2))</ns0:f>
        <ns0:v>8168.62</ns0:v>
      </ns0:c>
      <ns0:c r="P141" s="27">
        <ns0:f>IF('Parâmetros'!$B$12="truncar",ROUNDDOWN(O141*(1+'Parâmetros'!C68/100),2),ROUND(O141*(1+'Parâmetros'!C68/100),2))</ns0:f>
        <ns0:v>8397.34</ns0:v>
      </ns0:c>
      <ns0:c r="Q141" s="27">
        <ns0:f>IF('Parâmetros'!$B$12="truncar",ROUNDDOWN(P141*(1+'Parâmetros'!C69/100),2),ROUND(P141*(1+'Parâmetros'!C69/100),2))</ns0:f>
        <ns0:v>8632.47</ns0:v>
      </ns0:c>
      <ns0:c r="R141" s="27">
        <ns0:f>IF('Parâmetros'!$B$12="truncar",ROUNDDOWN(Q141*(1+'Parâmetros'!C70/100),2),ROUND(Q141*(1+'Parâmetros'!C70/100),2))</ns0:f>
        <ns0:v>8874.18</ns0:v>
      </ns0:c>
    </ns0:row>
    <ns0:row r="142" ht="26" customHeight="1">
      <ns0:c r="B142" s="3" t="inlineStr">
        <ns0:is>
          <ns0:t>III</ns0:t>
        </ns0:is>
      </ns0:c>
      <ns0:c r="C142" s="14" t="str">
        <ns0:f> "+"&amp;TEXT('Parâmetros'!D21,"0.00")&amp;IF('Parâmetros'!C21="valor_fixo"," R$ / ","% / ")&amp;'Parâmetros'!E21</ns0:f>
        <ns0:v>+15.00% / II</ns0:v>
      </ns0:c>
      <ns0:c r="D142" s="4">
        <ns0:f>IF('Parâmetros'!$B$12="truncar",ROUNDDOWN(R86*(1+'Parâmetros'!C56/100),2),ROUND(R86*(1+'Parâmetros'!C56/100),2))</ns0:f>
        <ns0:v>6933.01</ns0:v>
      </ns0:c>
      <ns0:c r="E142" s="4">
        <ns0:f>IF('Parâmetros'!$B$12="truncar",ROUNDDOWN(D142*(1+'Parâmetros'!C57/100),2),ROUND(D142*(1+'Parâmetros'!C57/100),2))</ns0:f>
        <ns0:v>7127.13</ns0:v>
      </ns0:c>
      <ns0:c r="F142" s="4">
        <ns0:f>IF('Parâmetros'!$B$12="truncar",ROUNDDOWN(E142*(1+'Parâmetros'!C58/100),2),ROUND(E142*(1+'Parâmetros'!C58/100),2))</ns0:f>
        <ns0:v>7326.69</ns0:v>
      </ns0:c>
      <ns0:c r="G142" s="4">
        <ns0:f>IF('Parâmetros'!$B$12="truncar",ROUNDDOWN(F142*(1+'Parâmetros'!C59/100),2),ROUND(F142*(1+'Parâmetros'!C59/100),2))</ns0:f>
        <ns0:v>7531.84</ns0:v>
      </ns0:c>
      <ns0:c r="H142" s="4">
        <ns0:f>IF('Parâmetros'!$B$12="truncar",ROUNDDOWN(G142*(1+'Parâmetros'!C60/100),2),ROUND(G142*(1+'Parâmetros'!C60/100),2))</ns0:f>
        <ns0:v>7742.73</ns0:v>
      </ns0:c>
      <ns0:c r="I142" s="4">
        <ns0:f>IF('Parâmetros'!$B$12="truncar",ROUNDDOWN(H142*(1+'Parâmetros'!C61/100),2),ROUND(H142*(1+'Parâmetros'!C61/100),2))</ns0:f>
        <ns0:v>7959.53</ns0:v>
      </ns0:c>
      <ns0:c r="J142" s="4">
        <ns0:f>IF('Parâmetros'!$B$12="truncar",ROUNDDOWN(I142*(1+'Parâmetros'!C62/100),2),ROUND(I142*(1+'Parâmetros'!C62/100),2))</ns0:f>
        <ns0:v>8182.4</ns0:v>
      </ns0:c>
      <ns0:c r="K142" s="4">
        <ns0:f>IF('Parâmetros'!$B$12="truncar",ROUNDDOWN(J142*(1+'Parâmetros'!C63/100),2),ROUND(J142*(1+'Parâmetros'!C63/100),2))</ns0:f>
        <ns0:v>8411.51</ns0:v>
      </ns0:c>
      <ns0:c r="L142" s="4">
        <ns0:f>IF('Parâmetros'!$B$12="truncar",ROUNDDOWN(K142*(1+'Parâmetros'!C64/100),2),ROUND(K142*(1+'Parâmetros'!C64/100),2))</ns0:f>
        <ns0:v>8647.03</ns0:v>
      </ns0:c>
      <ns0:c r="M142" s="4">
        <ns0:f>IF('Parâmetros'!$B$12="truncar",ROUNDDOWN(L142*(1+'Parâmetros'!C65/100),2),ROUND(L142*(1+'Parâmetros'!C65/100),2))</ns0:f>
        <ns0:v>8889.15</ns0:v>
      </ns0:c>
      <ns0:c r="N142" s="4">
        <ns0:f>IF('Parâmetros'!$B$12="truncar",ROUNDDOWN(M142*(1+'Parâmetros'!C66/100),2),ROUND(M142*(1+'Parâmetros'!C66/100),2))</ns0:f>
        <ns0:v>9138.05</ns0:v>
      </ns0:c>
      <ns0:c r="O142" s="4">
        <ns0:f>IF('Parâmetros'!$B$12="truncar",ROUNDDOWN(N142*(1+'Parâmetros'!C67/100),2),ROUND(N142*(1+'Parâmetros'!C67/100),2))</ns0:f>
        <ns0:v>9393.92</ns0:v>
      </ns0:c>
      <ns0:c r="P142" s="4">
        <ns0:f>IF('Parâmetros'!$B$12="truncar",ROUNDDOWN(O142*(1+'Parâmetros'!C68/100),2),ROUND(O142*(1+'Parâmetros'!C68/100),2))</ns0:f>
        <ns0:v>9656.95</ns0:v>
      </ns0:c>
      <ns0:c r="Q142" s="4">
        <ns0:f>IF('Parâmetros'!$B$12="truncar",ROUNDDOWN(P142*(1+'Parâmetros'!C69/100),2),ROUND(P142*(1+'Parâmetros'!C69/100),2))</ns0:f>
        <ns0:v>9927.34</ns0:v>
      </ns0:c>
      <ns0:c r="R142" s="4">
        <ns0:f>IF('Parâmetros'!$B$12="truncar",ROUNDDOWN(Q142*(1+'Parâmetros'!C70/100),2),ROUND(Q142*(1+'Parâmetros'!C70/100),2))</ns0:f>
        <ns0:v>10205.31</ns0:v>
      </ns0:c>
    </ns0:row>
    <ns0:row r="143" ht="26" customHeight="1">
      <ns0:c r="A143" s="28" t="n"/>
      <ns0:c r="B143" s="29" t="inlineStr">
        <ns0:is>
          <ns0:t>IV</ns0:t>
        </ns0:is>
      </ns0:c>
      <ns0:c r="C143" s="30" t="str">
        <ns0:f> "+"&amp;TEXT('Parâmetros'!D22,"0.00")&amp;IF('Parâmetros'!C22="valor_fixo"," R$ / ","% / ")&amp;'Parâmetros'!E22</ns0:f>
        <ns0:v>+15.00% / III</ns0:v>
      </ns0:c>
      <ns0:c r="D143" s="31">
        <ns0:f>IF('Parâmetros'!$B$12="truncar",ROUNDDOWN(R87*(1+'Parâmetros'!C56/100),2),ROUND(R87*(1+'Parâmetros'!C56/100),2))</ns0:f>
        <ns0:v>7972.96</ns0:v>
      </ns0:c>
      <ns0:c r="E143" s="31">
        <ns0:f>IF('Parâmetros'!$B$12="truncar",ROUNDDOWN(D143*(1+'Parâmetros'!C57/100),2),ROUND(D143*(1+'Parâmetros'!C57/100),2))</ns0:f>
        <ns0:v>8196.2</ns0:v>
      </ns0:c>
      <ns0:c r="F143" s="31">
        <ns0:f>IF('Parâmetros'!$B$12="truncar",ROUNDDOWN(E143*(1+'Parâmetros'!C58/100),2),ROUND(E143*(1+'Parâmetros'!C58/100),2))</ns0:f>
        <ns0:v>8425.69</ns0:v>
      </ns0:c>
      <ns0:c r="G143" s="31">
        <ns0:f>IF('Parâmetros'!$B$12="truncar",ROUNDDOWN(F143*(1+'Parâmetros'!C59/100),2),ROUND(F143*(1+'Parâmetros'!C59/100),2))</ns0:f>
        <ns0:v>8661.61</ns0:v>
      </ns0:c>
      <ns0:c r="H143" s="31">
        <ns0:f>IF('Parâmetros'!$B$12="truncar",ROUNDDOWN(G143*(1+'Parâmetros'!C60/100),2),ROUND(G143*(1+'Parâmetros'!C60/100),2))</ns0:f>
        <ns0:v>8904.14</ns0:v>
      </ns0:c>
      <ns0:c r="I143" s="31">
        <ns0:f>IF('Parâmetros'!$B$12="truncar",ROUNDDOWN(H143*(1+'Parâmetros'!C61/100),2),ROUND(H143*(1+'Parâmetros'!C61/100),2))</ns0:f>
        <ns0:v>9153.46</ns0:v>
      </ns0:c>
      <ns0:c r="J143" s="31">
        <ns0:f>IF('Parâmetros'!$B$12="truncar",ROUNDDOWN(I143*(1+'Parâmetros'!C62/100),2),ROUND(I143*(1+'Parâmetros'!C62/100),2))</ns0:f>
        <ns0:v>9409.76</ns0:v>
      </ns0:c>
      <ns0:c r="K143" s="31">
        <ns0:f>IF('Parâmetros'!$B$12="truncar",ROUNDDOWN(J143*(1+'Parâmetros'!C63/100),2),ROUND(J143*(1+'Parâmetros'!C63/100),2))</ns0:f>
        <ns0:v>9673.23</ns0:v>
      </ns0:c>
      <ns0:c r="L143" s="31">
        <ns0:f>IF('Parâmetros'!$B$12="truncar",ROUNDDOWN(K143*(1+'Parâmetros'!C64/100),2),ROUND(K143*(1+'Parâmetros'!C64/100),2))</ns0:f>
        <ns0:v>9944.08</ns0:v>
      </ns0:c>
      <ns0:c r="M143" s="31">
        <ns0:f>IF('Parâmetros'!$B$12="truncar",ROUNDDOWN(L143*(1+'Parâmetros'!C65/100),2),ROUND(L143*(1+'Parâmetros'!C65/100),2))</ns0:f>
        <ns0:v>10222.51</ns0:v>
      </ns0:c>
      <ns0:c r="N143" s="31">
        <ns0:f>IF('Parâmetros'!$B$12="truncar",ROUNDDOWN(M143*(1+'Parâmetros'!C66/100),2),ROUND(M143*(1+'Parâmetros'!C66/100),2))</ns0:f>
        <ns0:v>10508.74</ns0:v>
      </ns0:c>
      <ns0:c r="O143" s="31">
        <ns0:f>IF('Parâmetros'!$B$12="truncar",ROUNDDOWN(N143*(1+'Parâmetros'!C67/100),2),ROUND(N143*(1+'Parâmetros'!C67/100),2))</ns0:f>
        <ns0:v>10802.98</ns0:v>
      </ns0:c>
      <ns0:c r="P143" s="31">
        <ns0:f>IF('Parâmetros'!$B$12="truncar",ROUNDDOWN(O143*(1+'Parâmetros'!C68/100),2),ROUND(O143*(1+'Parâmetros'!C68/100),2))</ns0:f>
        <ns0:v>11105.46</ns0:v>
      </ns0:c>
      <ns0:c r="Q143" s="31">
        <ns0:f>IF('Parâmetros'!$B$12="truncar",ROUNDDOWN(P143*(1+'Parâmetros'!C69/100),2),ROUND(P143*(1+'Parâmetros'!C69/100),2))</ns0:f>
        <ns0:v>11416.41</ns0:v>
      </ns0:c>
      <ns0:c r="R143" s="31">
        <ns0:f>IF('Parâmetros'!$B$12="truncar",ROUNDDOWN(Q143*(1+'Parâmetros'!C70/100),2),ROUND(Q143*(1+'Parâmetros'!C70/100),2))</ns0:f>
        <ns0:v>11736.07</ns0:v>
      </ns0:c>
    </ns0:row>
    <ns0:row r="146" ht="35" customHeight="1">
      <ns0:c r="A146" s="2" t="str">
        <ns0:f>"Neste bloco: "&amp;SUMPRODUCT(--(D131:R134&lt;D140:R143))&amp;" vencimentos abaixo da referência de carreira; "&amp;COUNTIF(D131:R134,"&lt;"&amp;$D$4)&amp;" abaixo da base inicial (em vermelho)."</ns0:f>
        <ns0:v>Neste bloco: 60 vencimentos abaixo da referência de carreira; 0 abaixo da base inicial (em vermelho).</ns0:v>
      </ns0:c>
      <ns0:c r="B146" s="2" t="n"/>
      <ns0:c r="C146" s="2" t="n"/>
      <ns0:c r="D146" s="2" t="n"/>
      <ns0:c r="E146" s="2" t="n"/>
      <ns0:c r="F146" s="2" t="n"/>
      <ns0:c r="G146" s="2" t="n"/>
      <ns0:c r="H146" s="2" t="n"/>
      <ns0:c r="I146" s="2" t="n"/>
      <ns0:c r="J146" s="2" t="n"/>
      <ns0:c r="K146" s="2" t="n"/>
      <ns0:c r="L146" s="2" t="n"/>
      <ns0:c r="M146" s="2" t="n"/>
      <ns0:c r="N146" s="2" t="n"/>
      <ns0:c r="O146" s="2" t="n"/>
      <ns0:c r="P146" s="2" t="n"/>
      <ns0:c r="Q146" s="2" t="n"/>
      <ns0:c r="R146" s="2" t="n"/>
    </ns0:row>
    <ns0:row r="148" ht="28" customHeight="1">
      <ns0:c r="A148" s="5" t="inlineStr">
        <ns0:is>
          <ns0:t>NÃO CONFORMIDADES EM RELAÇÃO À REFERÊNCIA</ns0:t>
        </ns0:is>
      </ns0:c>
      <ns0:c r="B148" s="5" t="n"/>
      <ns0:c r="C148" s="5" t="n"/>
      <ns0:c r="D148" s="5" t="n"/>
      <ns0:c r="E148" s="5" t="n"/>
      <ns0:c r="F148" s="5" t="n"/>
      <ns0:c r="G148" s="5" t="n"/>
      <ns0:c r="H148" s="5" t="n"/>
      <ns0:c r="I148" s="5" t="n"/>
      <ns0:c r="J148" s="5" t="n"/>
      <ns0:c r="K148" s="5" t="n"/>
      <ns0:c r="L148" s="5" t="n"/>
      <ns0:c r="M148" s="5" t="n"/>
      <ns0:c r="N148" s="5" t="n"/>
      <ns0:c r="O148" s="5" t="n"/>
      <ns0:c r="P148" s="5" t="n"/>
      <ns0:c r="Q148" s="5" t="n"/>
      <ns0:c r="R148" s="5" t="n"/>
    </ns0:row>
    <ns0:row r="149" ht="24" customHeight="1">
      <ns0:c r="A149" s="6" t="inlineStr">
        <ns0:is>
          <ns0:t>AUXILIAR ADMINISTRATIVO OPERACIONAL — 40 HORAS</ns0:t>
        </ns0:is>
      </ns0:c>
      <ns0:c r="B149" s="6" t="n"/>
      <ns0:c r="C149" s="6" t="n"/>
      <ns0:c r="D149" s="6" t="n"/>
      <ns0:c r="E149" s="6" t="n"/>
      <ns0:c r="F149" s="6" t="n"/>
      <ns0:c r="G149" s="6" t="n"/>
      <ns0:c r="H149" s="6" t="n"/>
      <ns0:c r="I149" s="6" t="n"/>
      <ns0:c r="J149" s="6" t="n"/>
      <ns0:c r="K149" s="6" t="n"/>
      <ns0:c r="L149" s="6" t="n"/>
      <ns0:c r="M149" s="6" t="n"/>
      <ns0:c r="N149" s="6" t="n"/>
      <ns0:c r="O149" s="6" t="n"/>
      <ns0:c r="P149" s="6" t="n"/>
      <ns0:c r="Q149" s="6" t="n"/>
      <ns0:c r="R149" s="6" t="n"/>
    </ns0:row>
    <ns0:row r="150" ht="28" customHeight="1">
      <ns0:c r="A150" s="7" t="inlineStr">
        <ns0:is>
          <ns0:t>Classes →</ns0:t>
        </ns0:is>
      </ns0:c>
      <ns0:c r="B150" s="7" t="inlineStr">
        <ns0:is>
          <ns0:t>Nível</ns0:t>
        </ns0:is>
      </ns0:c>
      <ns0:c r="C150" s="7" t="inlineStr">
        <ns0:is>
          <ns0:t>Regra vertical</ns0:t>
        </ns0:is>
      </ns0:c>
      <ns0:c r="D150" s="7" t="inlineStr">
        <ns0:is>
          <ns0:t>XXXI</ns0:t>
        </ns0:is>
      </ns0:c>
      <ns0:c r="E150" s="7" t="inlineStr">
        <ns0:is>
          <ns0:t>XXXII</ns0:t>
        </ns0:is>
      </ns0:c>
      <ns0:c r="F150" s="7" t="inlineStr">
        <ns0:is>
          <ns0:t>XXXIII</ns0:t>
        </ns0:is>
      </ns0:c>
      <ns0:c r="G150" s="7" t="inlineStr">
        <ns0:is>
          <ns0:t>XXXIV</ns0:t>
        </ns0:is>
      </ns0:c>
      <ns0:c r="H150" s="7" t="inlineStr">
        <ns0:is>
          <ns0:t>XXXV</ns0:t>
        </ns0:is>
      </ns0:c>
      <ns0:c r="I150" s="7" t="inlineStr">
        <ns0:is>
          <ns0:t>XXXVI</ns0:t>
        </ns0:is>
      </ns0:c>
      <ns0:c r="J150" s="7" t="inlineStr">
        <ns0:is>
          <ns0:t>XXXVII</ns0:t>
        </ns0:is>
      </ns0:c>
      <ns0:c r="K150" s="7" t="inlineStr">
        <ns0:is>
          <ns0:t>XXXVIII</ns0:t>
        </ns0:is>
      </ns0:c>
      <ns0:c r="L150" s="7" t="inlineStr">
        <ns0:is>
          <ns0:t>XXXIX</ns0:t>
        </ns0:is>
      </ns0:c>
      <ns0:c r="M150" s="7" t="inlineStr">
        <ns0:is>
          <ns0:t>XL</ns0:t>
        </ns0:is>
      </ns0:c>
      <ns0:c r="N150" s="7" t="inlineStr">
        <ns0:is>
          <ns0:t>XLI</ns0:t>
        </ns0:is>
      </ns0:c>
      <ns0:c r="O150" s="7" t="inlineStr">
        <ns0:is>
          <ns0:t>XLII</ns0:t>
        </ns0:is>
      </ns0:c>
      <ns0:c r="P150" s="7" t="inlineStr">
        <ns0:is>
          <ns0:t>XLIII</ns0:t>
        </ns0:is>
      </ns0:c>
      <ns0:c r="Q150" s="7" t="inlineStr">
        <ns0:is>
          <ns0:t>XLIV</ns0:t>
        </ns0:is>
      </ns0:c>
      <ns0:c r="R150" s="7" t="inlineStr">
        <ns0:is>
          <ns0:t>XLV</ns0:t>
        </ns0:is>
      </ns0:c>
    </ns0:row>
    <ns0:row r="151" ht="26" customHeight="1">
      <ns0:c r="A151" s="3" t="inlineStr">
        <ns0:is>
          <ns0:t>Níveis ↓</ns0:t>
        </ns0:is>
      </ns0:c>
      <ns0:c r="B151" s="3" t="inlineStr">
        <ns0:is>
          <ns0:t>I</ns0:t>
        </ns0:is>
      </ns0:c>
      <ns0:c r="C151" s="3" t="inlineStr">
        <ns0:is>
          <ns0:t>Base</ns0:t>
        </ns0:is>
      </ns0:c>
      <ns0:c r="D151" s="4">
        <ns0:f>'Dados originais'!AH4</ns0:f>
        <ns0:v>4992.73</ns0:v>
      </ns0:c>
      <ns0:c r="E151" s="4">
        <ns0:f>'Dados originais'!AI4</ns0:f>
        <ns0:v>5132.52</ns0:v>
      </ns0:c>
      <ns0:c r="F151" s="4">
        <ns0:f>'Dados originais'!AJ4</ns0:f>
        <ns0:v>5276.23</ns0:v>
      </ns0:c>
      <ns0:c r="G151" s="4">
        <ns0:f>'Dados originais'!AK4</ns0:f>
        <ns0:v>5423.97</ns0:v>
      </ns0:c>
      <ns0:c r="H151" s="4">
        <ns0:f>'Dados originais'!AL4</ns0:f>
        <ns0:v>5575.84</ns0:v>
      </ns0:c>
      <ns0:c r="I151" s="4">
        <ns0:f>'Dados originais'!AM4</ns0:f>
        <ns0:v>5731.96</ns0:v>
      </ns0:c>
      <ns0:c r="J151" s="4">
        <ns0:f>'Dados originais'!AN4</ns0:f>
        <ns0:v>5892.46</ns0:v>
      </ns0:c>
      <ns0:c r="K151" s="4">
        <ns0:f>'Dados originais'!AO4</ns0:f>
        <ns0:v>6057.45</ns0:v>
      </ns0:c>
      <ns0:c r="L151" s="4">
        <ns0:f>'Dados originais'!AP4</ns0:f>
        <ns0:v>6227.05</ns0:v>
      </ns0:c>
      <ns0:c r="M151" s="4">
        <ns0:f>'Dados originais'!AQ4</ns0:f>
        <ns0:v>6401.41</ns0:v>
      </ns0:c>
      <ns0:c r="N151" s="4">
        <ns0:f>'Dados originais'!AR4</ns0:f>
        <ns0:v>6580.65</ns0:v>
      </ns0:c>
      <ns0:c r="O151" s="4">
        <ns0:f>'Dados originais'!AS4</ns0:f>
        <ns0:v>6764.91</ns0:v>
      </ns0:c>
      <ns0:c r="P151" s="4">
        <ns0:f>'Dados originais'!AT4</ns0:f>
        <ns0:v>6954.33</ns0:v>
      </ns0:c>
      <ns0:c r="Q151" s="4">
        <ns0:f>'Dados originais'!AU4</ns0:f>
        <ns0:v>7149.05</ns0:v>
      </ns0:c>
      <ns0:c r="R151" s="4">
        <ns0:f>'Dados originais'!AV4</ns0:f>
        <ns0:v>7349.22</ns0:v>
      </ns0:c>
    </ns0:row>
    <ns0:row r="152" ht="26" customHeight="1">
      <ns0:c r="B152" s="10" t="inlineStr">
        <ns0:is>
          <ns0:t>II</ns0:t>
        </ns0:is>
      </ns0:c>
      <ns0:c r="C152" s="11" t="str">
        <ns0:f> "+"&amp;TEXT('Parâmetros'!D20,"0.00")&amp;IF('Parâmetros'!C20="valor_fixo"," R$ / ","% / ")&amp;'Parâmetros'!E20</ns0:f>
        <ns0:v>+15.00% / I</ns0:v>
      </ns0:c>
      <ns0:c r="D152" s="20">
        <ns0:f>'Dados originais'!AH5</ns0:f>
        <ns0:v>5741.63</ns0:v>
      </ns0:c>
      <ns0:c r="E152" s="20">
        <ns0:f>'Dados originais'!AI5</ns0:f>
        <ns0:v>5902.4</ns0:v>
      </ns0:c>
      <ns0:c r="F152" s="20">
        <ns0:f>'Dados originais'!AJ5</ns0:f>
        <ns0:v>6067.67</ns0:v>
      </ns0:c>
      <ns0:c r="G152" s="20">
        <ns0:f>'Dados originais'!AK5</ns0:f>
        <ns0:v>6237.56</ns0:v>
      </ns0:c>
      <ns0:c r="H152" s="20">
        <ns0:f>'Dados originais'!AL5</ns0:f>
        <ns0:v>6412.21</ns0:v>
      </ns0:c>
      <ns0:c r="I152" s="20">
        <ns0:f>'Dados originais'!AM5</ns0:f>
        <ns0:v>6591.76</ns0:v>
      </ns0:c>
      <ns0:c r="J152" s="20">
        <ns0:f>'Dados originais'!AN5</ns0:f>
        <ns0:v>6776.32</ns0:v>
      </ns0:c>
      <ns0:c r="K152" s="20">
        <ns0:f>'Dados originais'!AO5</ns0:f>
        <ns0:v>6966.06</ns0:v>
      </ns0:c>
      <ns0:c r="L152" s="20">
        <ns0:f>'Dados originais'!AP5</ns0:f>
        <ns0:v>7161.11</ns0:v>
      </ns0:c>
      <ns0:c r="M152" s="20">
        <ns0:f>'Dados originais'!AQ5</ns0:f>
        <ns0:v>7361.62</ns0:v>
      </ns0:c>
      <ns0:c r="N152" s="20">
        <ns0:f>'Dados originais'!AR5</ns0:f>
        <ns0:v>7567.75</ns0:v>
      </ns0:c>
      <ns0:c r="O152" s="20">
        <ns0:f>'Dados originais'!AS5</ns0:f>
        <ns0:v>7779.65</ns0:v>
      </ns0:c>
      <ns0:c r="P152" s="20">
        <ns0:f>'Dados originais'!AT5</ns0:f>
        <ns0:v>7997.48</ns0:v>
      </ns0:c>
      <ns0:c r="Q152" s="20">
        <ns0:f>'Dados originais'!AU5</ns0:f>
        <ns0:v>8221.4</ns0:v>
      </ns0:c>
      <ns0:c r="R152" s="20">
        <ns0:f>'Dados originais'!AV5</ns0:f>
        <ns0:v>8451.6</ns0:v>
      </ns0:c>
    </ns0:row>
    <ns0:row r="153" ht="26" customHeight="1">
      <ns0:c r="B153" s="3" t="inlineStr">
        <ns0:is>
          <ns0:t>III</ns0:t>
        </ns0:is>
      </ns0:c>
      <ns0:c r="C153" s="14" t="str">
        <ns0:f> "+"&amp;TEXT('Parâmetros'!D21,"0.00")&amp;IF('Parâmetros'!C21="valor_fixo"," R$ / ","% / ")&amp;'Parâmetros'!E21</ns0:f>
        <ns0:v>+15.00% / II</ns0:v>
      </ns0:c>
      <ns0:c r="D153" s="4">
        <ns0:f>'Dados originais'!AH6</ns0:f>
        <ns0:v>6602.88</ns0:v>
      </ns0:c>
      <ns0:c r="E153" s="4">
        <ns0:f>'Dados originais'!AI6</ns0:f>
        <ns0:v>6787.76</ns0:v>
      </ns0:c>
      <ns0:c r="F153" s="4">
        <ns0:f>'Dados originais'!AJ6</ns0:f>
        <ns0:v>6977.82</ns0:v>
      </ns0:c>
      <ns0:c r="G153" s="4">
        <ns0:f>'Dados originais'!AK6</ns0:f>
        <ns0:v>7173.2</ns0:v>
      </ns0:c>
      <ns0:c r="H153" s="4">
        <ns0:f>'Dados originais'!AL6</ns0:f>
        <ns0:v>7374.05</ns0:v>
      </ns0:c>
      <ns0:c r="I153" s="4">
        <ns0:f>'Dados originais'!AM6</ns0:f>
        <ns0:v>7580.52</ns0:v>
      </ns0:c>
      <ns0:c r="J153" s="4">
        <ns0:f>'Dados originais'!AN6</ns0:f>
        <ns0:v>7792.77</ns0:v>
      </ns0:c>
      <ns0:c r="K153" s="4">
        <ns0:f>'Dados originais'!AO6</ns0:f>
        <ns0:v>8010.97</ns0:v>
      </ns0:c>
      <ns0:c r="L153" s="4">
        <ns0:f>'Dados originais'!AP6</ns0:f>
        <ns0:v>8235.28</ns0:v>
      </ns0:c>
      <ns0:c r="M153" s="4">
        <ns0:f>'Dados originais'!AQ6</ns0:f>
        <ns0:v>8465.87</ns0:v>
      </ns0:c>
      <ns0:c r="N153" s="4">
        <ns0:f>'Dados originais'!AR6</ns0:f>
        <ns0:v>8702.91</ns0:v>
      </ns0:c>
      <ns0:c r="O153" s="4">
        <ns0:f>'Dados originais'!AS6</ns0:f>
        <ns0:v>8946.59</ns0:v>
      </ns0:c>
      <ns0:c r="P153" s="4">
        <ns0:f>'Dados originais'!AT6</ns0:f>
        <ns0:v>9197.1</ns0:v>
      </ns0:c>
      <ns0:c r="Q153" s="4">
        <ns0:f>'Dados originais'!AU6</ns0:f>
        <ns0:v>9454.62</ns0:v>
      </ns0:c>
      <ns0:c r="R153" s="4">
        <ns0:f>'Dados originais'!AV6</ns0:f>
        <ns0:v>9719.35</ns0:v>
      </ns0:c>
    </ns0:row>
    <ns0:row r="154" ht="26" customHeight="1">
      <ns0:c r="A154" s="15" t="n"/>
      <ns0:c r="B154" s="16" t="inlineStr">
        <ns0:is>
          <ns0:t>IV</ns0:t>
        </ns0:is>
      </ns0:c>
      <ns0:c r="C154" s="17" t="str">
        <ns0:f> "+"&amp;TEXT('Parâmetros'!D22,"0.00")&amp;IF('Parâmetros'!C22="valor_fixo"," R$ / ","% / ")&amp;'Parâmetros'!E22</ns0:f>
        <ns0:v>+15.00% / III</ns0:v>
      </ns0:c>
      <ns0:c r="D154" s="21">
        <ns0:f>'Dados originais'!AH7</ns0:f>
        <ns0:v>7593.31</ns0:v>
      </ns0:c>
      <ns0:c r="E154" s="21">
        <ns0:f>'Dados originais'!AI7</ns0:f>
        <ns0:v>7805.92</ns0:v>
      </ns0:c>
      <ns0:c r="F154" s="21">
        <ns0:f>'Dados originais'!AJ7</ns0:f>
        <ns0:v>8024.49</ns0:v>
      </ns0:c>
      <ns0:c r="G154" s="21">
        <ns0:f>'Dados originais'!AK7</ns0:f>
        <ns0:v>8249.18</ns0:v>
      </ns0:c>
      <ns0:c r="H154" s="21">
        <ns0:f>'Dados originais'!AL7</ns0:f>
        <ns0:v>8480.15</ns0:v>
      </ns0:c>
      <ns0:c r="I154" s="21">
        <ns0:f>'Dados originais'!AM7</ns0:f>
        <ns0:v>8717.6</ns0:v>
      </ns0:c>
      <ns0:c r="J154" s="21">
        <ns0:f>'Dados originais'!AN7</ns0:f>
        <ns0:v>8961.69</ns0:v>
      </ns0:c>
      <ns0:c r="K154" s="21">
        <ns0:f>'Dados originais'!AO7</ns0:f>
        <ns0:v>9212.62</ns0:v>
      </ns0:c>
      <ns0:c r="L154" s="21">
        <ns0:f>'Dados originais'!AP7</ns0:f>
        <ns0:v>9470.57</ns0:v>
      </ns0:c>
      <ns0:c r="M154" s="21">
        <ns0:f>'Dados originais'!AQ7</ns0:f>
        <ns0:v>9735.75</ns0:v>
      </ns0:c>
      <ns0:c r="N154" s="21">
        <ns0:f>'Dados originais'!AR7</ns0:f>
        <ns0:v>10008.35</ns0:v>
      </ns0:c>
      <ns0:c r="O154" s="21">
        <ns0:f>'Dados originais'!AS7</ns0:f>
        <ns0:v>10288.58</ns0:v>
      </ns0:c>
      <ns0:c r="P154" s="21">
        <ns0:f>'Dados originais'!AT7</ns0:f>
        <ns0:v>10576.66</ns0:v>
      </ns0:c>
      <ns0:c r="Q154" s="21">
        <ns0:f>'Dados originais'!AU7</ns0:f>
        <ns0:v>10872.81</ns0:v>
      </ns0:c>
      <ns0:c r="R154" s="21">
        <ns0:f>'Dados originais'!AV7</ns0:f>
        <ns0:v>11177.25</ns0:v>
      </ns0:c>
    </ns0:row>
    <ns0:row r="157" ht="28" customHeight="1">
      <ns0:c r="A157" s="32" t="inlineStr">
        <ns0:is>
          <ns0:t>• DEFASAGEM SALARIAL MENSAL •</ns0:t>
        </ns0:is>
      </ns0:c>
      <ns0:c r="B157" s="32" t="n"/>
      <ns0:c r="C157" s="32" t="n"/>
      <ns0:c r="D157" s="32" t="n"/>
      <ns0:c r="E157" s="32" t="n"/>
      <ns0:c r="F157" s="32" t="n"/>
      <ns0:c r="G157" s="32" t="n"/>
      <ns0:c r="H157" s="32" t="n"/>
      <ns0:c r="I157" s="32" t="n"/>
      <ns0:c r="J157" s="32" t="n"/>
      <ns0:c r="K157" s="32" t="n"/>
      <ns0:c r="L157" s="32" t="n"/>
      <ns0:c r="M157" s="32" t="n"/>
      <ns0:c r="N157" s="32" t="n"/>
      <ns0:c r="O157" s="32" t="n"/>
      <ns0:c r="P157" s="32" t="n"/>
      <ns0:c r="Q157" s="32" t="n"/>
      <ns0:c r="R157" s="32" t="n"/>
    </ns0:row>
    <ns0:row r="158" ht="24" customHeight="1">
      <ns0:c r="A158" s="33" t="inlineStr">
        <ns0:is>
          <ns0:t>AUXILIAR ADMINISTRATIVO OPERACIONAL — 40 HORAS</ns0:t>
        </ns0:is>
      </ns0:c>
      <ns0:c r="B158" s="33" t="n"/>
      <ns0:c r="C158" s="33" t="n"/>
      <ns0:c r="D158" s="33" t="n"/>
      <ns0:c r="E158" s="33" t="n"/>
      <ns0:c r="F158" s="33" t="n"/>
      <ns0:c r="G158" s="33" t="n"/>
      <ns0:c r="H158" s="33" t="n"/>
      <ns0:c r="I158" s="33" t="n"/>
      <ns0:c r="J158" s="33" t="n"/>
      <ns0:c r="K158" s="33" t="n"/>
      <ns0:c r="L158" s="33" t="n"/>
      <ns0:c r="M158" s="33" t="n"/>
      <ns0:c r="N158" s="33" t="n"/>
      <ns0:c r="O158" s="33" t="n"/>
      <ns0:c r="P158" s="33" t="n"/>
      <ns0:c r="Q158" s="33" t="n"/>
      <ns0:c r="R158" s="33" t="n"/>
    </ns0:row>
    <ns0:row r="159" ht="28" customHeight="1">
      <ns0:c r="A159" s="34" t="inlineStr">
        <ns0:is>
          <ns0:t>Classes →</ns0:t>
        </ns0:is>
      </ns0:c>
      <ns0:c r="B159" s="34" t="inlineStr">
        <ns0:is>
          <ns0:t>Nível</ns0:t>
        </ns0:is>
      </ns0:c>
      <ns0:c r="C159" s="34" t="inlineStr">
        <ns0:is>
          <ns0:t>Regra vertical</ns0:t>
        </ns0:is>
      </ns0:c>
      <ns0:c r="D159" s="34" t="inlineStr">
        <ns0:is>
          <ns0:t>XXXI</ns0:t>
        </ns0:is>
      </ns0:c>
      <ns0:c r="E159" s="34" t="inlineStr">
        <ns0:is>
          <ns0:t>XXXII</ns0:t>
        </ns0:is>
      </ns0:c>
      <ns0:c r="F159" s="34" t="inlineStr">
        <ns0:is>
          <ns0:t>XXXIII</ns0:t>
        </ns0:is>
      </ns0:c>
      <ns0:c r="G159" s="34" t="inlineStr">
        <ns0:is>
          <ns0:t>XXXIV</ns0:t>
        </ns0:is>
      </ns0:c>
      <ns0:c r="H159" s="34" t="inlineStr">
        <ns0:is>
          <ns0:t>XXXV</ns0:t>
        </ns0:is>
      </ns0:c>
      <ns0:c r="I159" s="34" t="inlineStr">
        <ns0:is>
          <ns0:t>XXXVI</ns0:t>
        </ns0:is>
      </ns0:c>
      <ns0:c r="J159" s="34" t="inlineStr">
        <ns0:is>
          <ns0:t>XXXVII</ns0:t>
        </ns0:is>
      </ns0:c>
      <ns0:c r="K159" s="34" t="inlineStr">
        <ns0:is>
          <ns0:t>XXXVIII</ns0:t>
        </ns0:is>
      </ns0:c>
      <ns0:c r="L159" s="34" t="inlineStr">
        <ns0:is>
          <ns0:t>XXXIX</ns0:t>
        </ns0:is>
      </ns0:c>
      <ns0:c r="M159" s="34" t="inlineStr">
        <ns0:is>
          <ns0:t>XL</ns0:t>
        </ns0:is>
      </ns0:c>
      <ns0:c r="N159" s="34" t="inlineStr">
        <ns0:is>
          <ns0:t>XLI</ns0:t>
        </ns0:is>
      </ns0:c>
      <ns0:c r="O159" s="34" t="inlineStr">
        <ns0:is>
          <ns0:t>XLII</ns0:t>
        </ns0:is>
      </ns0:c>
      <ns0:c r="P159" s="34" t="inlineStr">
        <ns0:is>
          <ns0:t>XLIII</ns0:t>
        </ns0:is>
      </ns0:c>
      <ns0:c r="Q159" s="34" t="inlineStr">
        <ns0:is>
          <ns0:t>XLIV</ns0:t>
        </ns0:is>
      </ns0:c>
      <ns0:c r="R159" s="34" t="inlineStr">
        <ns0:is>
          <ns0:t>XLV</ns0:t>
        </ns0:is>
      </ns0:c>
    </ns0:row>
    <ns0:row r="160" ht="26" customHeight="1">
      <ns0:c r="A160" s="3" t="inlineStr">
        <ns0:is>
          <ns0:t>Níveis ↓</ns0:t>
        </ns0:is>
      </ns0:c>
      <ns0:c r="B160" s="3" t="inlineStr">
        <ns0:is>
          <ns0:t>I</ns0:t>
        </ns0:is>
      </ns0:c>
      <ns0:c r="C160" s="3" t="inlineStr">
        <ns0:is>
          <ns0:t>Base</ns0:t>
        </ns0:is>
      </ns0:c>
      <ns0:c r="D160" s="4">
        <ns0:f>D131-D140</ns0:f>
        <ns0:v>-249.58</ns0:v>
      </ns0:c>
      <ns0:c r="E160" s="4">
        <ns0:f>E131-E140</ns0:f>
        <ns0:v>-256.57</ns0:v>
      </ns0:c>
      <ns0:c r="F160" s="4">
        <ns0:f>F131-F140</ns0:f>
        <ns0:v>-263.75</ns0:v>
      </ns0:c>
      <ns0:c r="G160" s="4">
        <ns0:f>G131-G140</ns0:f>
        <ns0:v>-271.13</ns0:v>
      </ns0:c>
      <ns0:c r="H160" s="4">
        <ns0:f>H131-H140</ns0:f>
        <ns0:v>-278.72</ns0:v>
      </ns0:c>
      <ns0:c r="I160" s="4">
        <ns0:f>I131-I140</ns0:f>
        <ns0:v>-286.53</ns0:v>
      </ns0:c>
      <ns0:c r="J160" s="4">
        <ns0:f>J131-J140</ns0:f>
        <ns0:v>-294.55</ns0:v>
      </ns0:c>
      <ns0:c r="K160" s="4">
        <ns0:f>K131-K140</ns0:f>
        <ns0:v>-302.8</ns0:v>
      </ns0:c>
      <ns0:c r="L160" s="4">
        <ns0:f>L131-L140</ns0:f>
        <ns0:v>-311.29</ns0:v>
      </ns0:c>
      <ns0:c r="M160" s="4">
        <ns0:f>M131-M140</ns0:f>
        <ns0:v>-320.0</ns0:v>
      </ns0:c>
      <ns0:c r="N160" s="4">
        <ns0:f>N131-N140</ns0:f>
        <ns0:v>-328.96</ns0:v>
      </ns0:c>
      <ns0:c r="O160" s="4">
        <ns0:f>O131-O140</ns0:f>
        <ns0:v>-338.17</ns0:v>
      </ns0:c>
      <ns0:c r="P160" s="4">
        <ns0:f>P131-P140</ns0:f>
        <ns0:v>-347.64</ns0:v>
      </ns0:c>
      <ns0:c r="Q160" s="4">
        <ns0:f>Q131-Q140</ns0:f>
        <ns0:v>-357.38</ns0:v>
      </ns0:c>
      <ns0:c r="R160" s="4">
        <ns0:f>R131-R140</ns0:f>
        <ns0:v>-367.39</ns0:v>
      </ns0:c>
    </ns0:row>
    <ns0:row r="161" ht="26" customHeight="1">
      <ns0:c r="B161" s="35" t="inlineStr">
        <ns0:is>
          <ns0:t>II</ns0:t>
        </ns0:is>
      </ns0:c>
      <ns0:c r="C161" s="36" t="str">
        <ns0:f> "+"&amp;TEXT('Parâmetros'!D20,"0.00")&amp;IF('Parâmetros'!C20="valor_fixo"," R$ / ","% / ")&amp;'Parâmetros'!E20</ns0:f>
        <ns0:v>+15.00% / I</ns0:v>
      </ns0:c>
      <ns0:c r="D161" s="37">
        <ns0:f>D132-D141</ns0:f>
        <ns0:v>-287.09</ns0:v>
      </ns0:c>
      <ns0:c r="E161" s="37">
        <ns0:f>E132-E141</ns0:f>
        <ns0:v>-295.12</ns0:v>
      </ns0:c>
      <ns0:c r="F161" s="37">
        <ns0:f>F132-F141</ns0:f>
        <ns0:v>-303.38</ns0:v>
      </ns0:c>
      <ns0:c r="G161" s="37">
        <ns0:f>G132-G141</ns0:f>
        <ns0:v>-311.88</ns0:v>
      </ns0:c>
      <ns0:c r="H161" s="37">
        <ns0:f>H132-H141</ns0:f>
        <ns0:v>-320.61</ns0:v>
      </ns0:c>
      <ns0:c r="I161" s="37">
        <ns0:f>I132-I141</ns0:f>
        <ns0:v>-329.58</ns0:v>
      </ns0:c>
      <ns0:c r="J161" s="37">
        <ns0:f>J132-J141</ns0:f>
        <ns0:v>-338.82</ns0:v>
      </ns0:c>
      <ns0:c r="K161" s="37">
        <ns0:f>K132-K141</ns0:f>
        <ns0:v>-348.3</ns0:v>
      </ns0:c>
      <ns0:c r="L161" s="37">
        <ns0:f>L132-L141</ns0:f>
        <ns0:v>-358.05</ns0:v>
      </ns0:c>
      <ns0:c r="M161" s="37">
        <ns0:f>M132-M141</ns0:f>
        <ns0:v>-368.08</ns0:v>
      </ns0:c>
      <ns0:c r="N161" s="37">
        <ns0:f>N132-N141</ns0:f>
        <ns0:v>-378.38</ns0:v>
      </ns0:c>
      <ns0:c r="O161" s="37">
        <ns0:f>O132-O141</ns0:f>
        <ns0:v>-388.97</ns0:v>
      </ns0:c>
      <ns0:c r="P161" s="37">
        <ns0:f>P132-P141</ns0:f>
        <ns0:v>-399.86</ns0:v>
      </ns0:c>
      <ns0:c r="Q161" s="37">
        <ns0:f>Q132-Q141</ns0:f>
        <ns0:v>-411.07</ns0:v>
      </ns0:c>
      <ns0:c r="R161" s="37">
        <ns0:f>R132-R141</ns0:f>
        <ns0:v>-422.58</ns0:v>
      </ns0:c>
    </ns0:row>
    <ns0:row r="162" ht="26" customHeight="1">
      <ns0:c r="B162" s="3" t="inlineStr">
        <ns0:is>
          <ns0:t>III</ns0:t>
        </ns0:is>
      </ns0:c>
      <ns0:c r="C162" s="14" t="str">
        <ns0:f> "+"&amp;TEXT('Parâmetros'!D21,"0.00")&amp;IF('Parâmetros'!C21="valor_fixo"," R$ / ","% / ")&amp;'Parâmetros'!E21</ns0:f>
        <ns0:v>+15.00% / II</ns0:v>
      </ns0:c>
      <ns0:c r="D162" s="4">
        <ns0:f>D133-D142</ns0:f>
        <ns0:v>-330.13</ns0:v>
      </ns0:c>
      <ns0:c r="E162" s="4">
        <ns0:f>E133-E142</ns0:f>
        <ns0:v>-339.37</ns0:v>
      </ns0:c>
      <ns0:c r="F162" s="4">
        <ns0:f>F133-F142</ns0:f>
        <ns0:v>-348.87</ns0:v>
      </ns0:c>
      <ns0:c r="G162" s="4">
        <ns0:f>G133-G142</ns0:f>
        <ns0:v>-358.64</ns0:v>
      </ns0:c>
      <ns0:c r="H162" s="4">
        <ns0:f>H133-H142</ns0:f>
        <ns0:v>-368.68</ns0:v>
      </ns0:c>
      <ns0:c r="I162" s="4">
        <ns0:f>I133-I142</ns0:f>
        <ns0:v>-379.01</ns0:v>
      </ns0:c>
      <ns0:c r="J162" s="4">
        <ns0:f>J133-J142</ns0:f>
        <ns0:v>-389.63</ns0:v>
      </ns0:c>
      <ns0:c r="K162" s="4">
        <ns0:f>K133-K142</ns0:f>
        <ns0:v>-400.54</ns0:v>
      </ns0:c>
      <ns0:c r="L162" s="4">
        <ns0:f>L133-L142</ns0:f>
        <ns0:v>-411.75</ns0:v>
      </ns0:c>
      <ns0:c r="M162" s="4">
        <ns0:f>M133-M142</ns0:f>
        <ns0:v>-423.28</ns0:v>
      </ns0:c>
      <ns0:c r="N162" s="4">
        <ns0:f>N133-N142</ns0:f>
        <ns0:v>-435.14</ns0:v>
      </ns0:c>
      <ns0:c r="O162" s="4">
        <ns0:f>O133-O142</ns0:f>
        <ns0:v>-447.33</ns0:v>
      </ns0:c>
      <ns0:c r="P162" s="4">
        <ns0:f>P133-P142</ns0:f>
        <ns0:v>-459.85</ns0:v>
      </ns0:c>
      <ns0:c r="Q162" s="4">
        <ns0:f>Q133-Q142</ns0:f>
        <ns0:v>-472.72</ns0:v>
      </ns0:c>
      <ns0:c r="R162" s="4">
        <ns0:f>R133-R142</ns0:f>
        <ns0:v>-485.96</ns0:v>
      </ns0:c>
    </ns0:row>
    <ns0:row r="163" ht="26" customHeight="1">
      <ns0:c r="A163" s="38" t="n"/>
      <ns0:c r="B163" s="39" t="inlineStr">
        <ns0:is>
          <ns0:t>IV</ns0:t>
        </ns0:is>
      </ns0:c>
      <ns0:c r="C163" s="40" t="str">
        <ns0:f> "+"&amp;TEXT('Parâmetros'!D22,"0.00")&amp;IF('Parâmetros'!C22="valor_fixo"," R$ / ","% / ")&amp;'Parâmetros'!E22</ns0:f>
        <ns0:v>+15.00% / III</ns0:v>
      </ns0:c>
      <ns0:c r="D163" s="41">
        <ns0:f>D134-D143</ns0:f>
        <ns0:v>-379.65</ns0:v>
      </ns0:c>
      <ns0:c r="E163" s="41">
        <ns0:f>E134-E143</ns0:f>
        <ns0:v>-390.28</ns0:v>
      </ns0:c>
      <ns0:c r="F163" s="41">
        <ns0:f>F134-F143</ns0:f>
        <ns0:v>-401.2</ns0:v>
      </ns0:c>
      <ns0:c r="G163" s="41">
        <ns0:f>G134-G143</ns0:f>
        <ns0:v>-412.43</ns0:v>
      </ns0:c>
      <ns0:c r="H163" s="41">
        <ns0:f>H134-H143</ns0:f>
        <ns0:v>-423.99</ns0:v>
      </ns0:c>
      <ns0:c r="I163" s="41">
        <ns0:f>I134-I143</ns0:f>
        <ns0:v>-435.86</ns0:v>
      </ns0:c>
      <ns0:c r="J163" s="41">
        <ns0:f>J134-J143</ns0:f>
        <ns0:v>-448.07</ns0:v>
      </ns0:c>
      <ns0:c r="K163" s="41">
        <ns0:f>K134-K143</ns0:f>
        <ns0:v>-460.61</ns0:v>
      </ns0:c>
      <ns0:c r="L163" s="41">
        <ns0:f>L134-L143</ns0:f>
        <ns0:v>-473.51</ns0:v>
      </ns0:c>
      <ns0:c r="M163" s="41">
        <ns0:f>M134-M143</ns0:f>
        <ns0:v>-486.76</ns0:v>
      </ns0:c>
      <ns0:c r="N163" s="41">
        <ns0:f>N134-N143</ns0:f>
        <ns0:v>-500.39</ns0:v>
      </ns0:c>
      <ns0:c r="O163" s="41">
        <ns0:f>O134-O143</ns0:f>
        <ns0:v>-514.4</ns0:v>
      </ns0:c>
      <ns0:c r="P163" s="41">
        <ns0:f>P134-P143</ns0:f>
        <ns0:v>-528.8</ns0:v>
      </ns0:c>
      <ns0:c r="Q163" s="41">
        <ns0:f>Q134-Q143</ns0:f>
        <ns0:v>-543.6</ns0:v>
      </ns0:c>
      <ns0:c r="R163" s="41">
        <ns0:f>R134-R143</ns0:f>
        <ns0:v>-558.82</ns0:v>
      </ns0:c>
    </ns0:row>
    <ns0:row r="166" ht="30" customHeight="1">
      <ns0:c r="A166" s="2" t="inlineStr">
        <ns0:is>
          <ns0:t>Defasagem = referência ÷ atual − 1. Diferença mensal = atual − referência; negativa indica valor abaixo da referência.</ns0:t>
        </ns0:is>
      </ns0:c>
      <ns0:c r="B166" s="2" t="n"/>
      <ns0:c r="C166" s="2" t="n"/>
      <ns0:c r="D166" s="2" t="n"/>
      <ns0:c r="E166" s="2" t="n"/>
      <ns0:c r="F166" s="2" t="n"/>
      <ns0:c r="G166" s="2" t="n"/>
      <ns0:c r="H166" s="2" t="n"/>
      <ns0:c r="I166" s="2" t="n"/>
      <ns0:c r="J166" s="2" t="n"/>
      <ns0:c r="K166" s="2" t="n"/>
      <ns0:c r="L166" s="2" t="n"/>
      <ns0:c r="M166" s="2" t="n"/>
      <ns0:c r="N166" s="2" t="n"/>
      <ns0:c r="O166" s="2" t="n"/>
      <ns0:c r="P166" s="2" t="n"/>
      <ns0:c r="Q166" s="2" t="n"/>
      <ns0:c r="R166" s="2" t="n"/>
    </ns0:row>
    <ns0:row r="168" ht="30" customHeight="1">
      <ns0:c r="A168" s="42" t="inlineStr">
        <ns0:is>
          <ns0:t>DEFASAGEM SALARIAL EM RELAÇÃO À REFERÊNCIA</ns0:t>
        </ns0:is>
      </ns0:c>
      <ns0:c r="B168" s="42" t="n"/>
      <ns0:c r="C168" s="42" t="n"/>
      <ns0:c r="D168" s="42" t="n"/>
      <ns0:c r="E168" s="42" t="n"/>
      <ns0:c r="F168" s="42" t="n"/>
      <ns0:c r="G168" s="42" t="n"/>
      <ns0:c r="H168" s="42" t="n"/>
      <ns0:c r="I168" s="42" t="n"/>
      <ns0:c r="J168" s="42" t="n"/>
      <ns0:c r="K168" s="42" t="n"/>
      <ns0:c r="L168" s="42" t="n"/>
      <ns0:c r="M168" s="42" t="n"/>
      <ns0:c r="N168" s="42" t="n"/>
      <ns0:c r="O168" s="43">
        <ns0:f>D28/D19-1</ns0:f>
        <ns0:v>0.049999</ns0:v>
      </ns0:c>
      <ns0:c r="P168" s="42" t="n"/>
      <ns0:c r="Q168" s="42" t="n"/>
      <ns0:c r="R168" s="42" t="n"/>
    </ns0:row>
    <ns0:row r="169" ht="24" customHeight="1">
      <ns0:c r="A169" s="42" t="n"/>
      <ns0:c r="B169" s="42" t="n"/>
      <ns0:c r="C169" s="42" t="n"/>
      <ns0:c r="D169" s="42" t="n"/>
      <ns0:c r="E169" s="42" t="n"/>
      <ns0:c r="F169" s="42" t="n"/>
      <ns0:c r="G169" s="42" t="n"/>
      <ns0:c r="H169" s="42" t="n"/>
      <ns0:c r="I169" s="42" t="n"/>
      <ns0:c r="J169" s="42" t="n"/>
      <ns0:c r="K169" s="42" t="n"/>
      <ns0:c r="L169" s="42" t="n"/>
      <ns0:c r="M169" s="42" t="n"/>
      <ns0:c r="N169" s="42" t="n"/>
      <ns0:c r="O169" s="42" t="n"/>
      <ns0:c r="P169" s="42" t="n"/>
      <ns0:c r="Q169" s="42" t="n"/>
      <ns0:c r="R169" s="42" t="n"/>
    </ns0:row>
    <ns0:row r="173" ht="30" customHeight="1">
      <ns0:c r="A173" s="2" t="inlineStr">
        <ns0:is>
          <ns0:t>Continuação das classes/referências: XLVI a XLVI. Nenhuma classe foi descartada.</ns0:t>
        </ns0:is>
      </ns0:c>
      <ns0:c r="B173" s="2" t="n"/>
      <ns0:c r="C173" s="2" t="n"/>
      <ns0:c r="D173" s="2" t="n"/>
      <ns0:c r="E173" s="2" t="n"/>
      <ns0:c r="F173" s="2" t="n"/>
      <ns0:c r="G173" s="2" t="n"/>
      <ns0:c r="H173" s="2" t="n"/>
      <ns0:c r="I173" s="2" t="n"/>
      <ns0:c r="J173" s="2" t="n"/>
      <ns0:c r="K173" s="2" t="n"/>
      <ns0:c r="L173" s="2" t="n"/>
      <ns0:c r="M173" s="2" t="n"/>
      <ns0:c r="N173" s="2" t="n"/>
      <ns0:c r="O173" s="2" t="n"/>
      <ns0:c r="P173" s="2" t="n"/>
      <ns0:c r="Q173" s="2" t="n"/>
      <ns0:c r="R173" s="2" t="n"/>
    </ns0:row>
    <ns0:row r="175" ht="28" customHeight="1">
      <ns0:c r="A175" s="5" t="inlineStr">
        <ns0:is>
          <ns0:t>ESTRUTURA DE PROMOÇÃO / PROGRESSÃO</ns0:t>
        </ns0:is>
      </ns0:c>
      <ns0:c r="B175" s="5" t="n"/>
      <ns0:c r="C175" s="5" t="n"/>
      <ns0:c r="D175" s="5" t="n"/>
      <ns0:c r="E175" s="5" t="n"/>
      <ns0:c r="F175" s="5" t="n"/>
      <ns0:c r="G175" s="5" t="n"/>
      <ns0:c r="H175" s="5" t="n"/>
      <ns0:c r="I175" s="5" t="n"/>
      <ns0:c r="J175" s="5" t="n"/>
      <ns0:c r="K175" s="5" t="n"/>
      <ns0:c r="L175" s="5" t="n"/>
      <ns0:c r="M175" s="5" t="n"/>
      <ns0:c r="N175" s="5" t="n"/>
      <ns0:c r="O175" s="5" t="n"/>
      <ns0:c r="P175" s="5" t="n"/>
      <ns0:c r="Q175" s="5" t="n"/>
      <ns0:c r="R175" s="5" t="n"/>
    </ns0:row>
    <ns0:row r="176" ht="24" customHeight="1">
      <ns0:c r="A176" s="6" t="inlineStr">
        <ns0:is>
          <ns0:t>AUXILIAR ADMINISTRATIVO OPERACIONAL — 40 HORAS</ns0:t>
        </ns0:is>
      </ns0:c>
      <ns0:c r="B176" s="6" t="n"/>
      <ns0:c r="C176" s="6" t="n"/>
      <ns0:c r="D176" s="6" t="n"/>
      <ns0:c r="E176" s="6" t="n"/>
      <ns0:c r="F176" s="6" t="n"/>
      <ns0:c r="G176" s="6" t="n"/>
      <ns0:c r="H176" s="6" t="n"/>
      <ns0:c r="I176" s="6" t="n"/>
      <ns0:c r="J176" s="6" t="n"/>
      <ns0:c r="K176" s="6" t="n"/>
      <ns0:c r="L176" s="6" t="n"/>
      <ns0:c r="M176" s="6" t="n"/>
      <ns0:c r="N176" s="6" t="n"/>
      <ns0:c r="O176" s="6" t="n"/>
      <ns0:c r="P176" s="6" t="n"/>
      <ns0:c r="Q176" s="6" t="n"/>
      <ns0:c r="R176" s="6" t="n"/>
    </ns0:row>
    <ns0:row r="177" ht="28" customHeight="1">
      <ns0:c r="A177" s="7" t="inlineStr">
        <ns0:is>
          <ns0:t>Classes →</ns0:t>
        </ns0:is>
      </ns0:c>
      <ns0:c r="B177" s="7" t="inlineStr">
        <ns0:is>
          <ns0:t>Nível</ns0:t>
        </ns0:is>
      </ns0:c>
      <ns0:c r="C177" s="7" t="inlineStr">
        <ns0:is>
          <ns0:t>Regra vertical</ns0:t>
        </ns0:is>
      </ns0:c>
      <ns0:c r="D177" s="7" t="inlineStr">
        <ns0:is>
          <ns0:t>XLVI</ns0:t>
        </ns0:is>
      </ns0:c>
      <ns0:c r="E177" s="7" t="n"/>
      <ns0:c r="F177" s="7" t="n"/>
      <ns0:c r="G177" s="7" t="n"/>
      <ns0:c r="H177" s="7" t="n"/>
      <ns0:c r="I177" s="7" t="n"/>
      <ns0:c r="J177" s="7" t="n"/>
      <ns0:c r="K177" s="7" t="n"/>
      <ns0:c r="L177" s="7" t="n"/>
      <ns0:c r="M177" s="7" t="n"/>
      <ns0:c r="N177" s="7" t="n"/>
      <ns0:c r="O177" s="7" t="n"/>
      <ns0:c r="P177" s="7" t="n"/>
      <ns0:c r="Q177" s="7" t="n"/>
      <ns0:c r="R177" s="7" t="n"/>
    </ns0:row>
    <ns0:row r="178" ht="26" customHeight="1">
      <ns0:c r="A178" s="3" t="inlineStr">
        <ns0:is>
          <ns0:t>Níveis ↓</ns0:t>
        </ns0:is>
      </ns0:c>
      <ns0:c r="B178" s="3" t="inlineStr">
        <ns0:is>
          <ns0:t>I</ns0:t>
        </ns0:is>
      </ns0:c>
      <ns0:c r="C178" s="3" t="inlineStr">
        <ns0:is>
          <ns0:t>Base</ns0:t>
        </ns0:is>
      </ns0:c>
      <ns0:c r="D178" s="9">
        <ns0:f>'Parâmetros'!C71/100</ns0:f>
        <ns0:v>0.027999999999999997</ns0:v>
      </ns0:c>
    </ns0:row>
    <ns0:row r="179" ht="26" customHeight="1">
      <ns0:c r="B179" s="10" t="inlineStr">
        <ns0:is>
          <ns0:t>II</ns0:t>
        </ns0:is>
      </ns0:c>
      <ns0:c r="C179" s="11" t="str">
        <ns0:f> "+"&amp;TEXT('Parâmetros'!D20,"0.00")&amp;IF('Parâmetros'!C20="valor_fixo"," R$ / ","% / ")&amp;'Parâmetros'!E20</ns0:f>
        <ns0:v>+15.00% / I</ns0:v>
      </ns0:c>
      <ns0:c r="D179" s="13">
        <ns0:f>'Parâmetros'!C71/100</ns0:f>
        <ns0:v>0.027999999999999997</ns0:v>
      </ns0:c>
      <ns0:c r="E179" s="44" t="n"/>
      <ns0:c r="F179" s="44" t="n"/>
      <ns0:c r="G179" s="44" t="n"/>
      <ns0:c r="H179" s="44" t="n"/>
      <ns0:c r="I179" s="44" t="n"/>
      <ns0:c r="J179" s="44" t="n"/>
      <ns0:c r="K179" s="44" t="n"/>
      <ns0:c r="L179" s="44" t="n"/>
      <ns0:c r="M179" s="44" t="n"/>
      <ns0:c r="N179" s="44" t="n"/>
      <ns0:c r="O179" s="44" t="n"/>
      <ns0:c r="P179" s="44" t="n"/>
      <ns0:c r="Q179" s="44" t="n"/>
      <ns0:c r="R179" s="44" t="n"/>
    </ns0:row>
    <ns0:row r="180" ht="26" customHeight="1">
      <ns0:c r="B180" s="3" t="inlineStr">
        <ns0:is>
          <ns0:t>III</ns0:t>
        </ns0:is>
      </ns0:c>
      <ns0:c r="C180" s="14" t="str">
        <ns0:f> "+"&amp;TEXT('Parâmetros'!D21,"0.00")&amp;IF('Parâmetros'!C21="valor_fixo"," R$ / ","% / ")&amp;'Parâmetros'!E21</ns0:f>
        <ns0:v>+15.00% / II</ns0:v>
      </ns0:c>
      <ns0:c r="D180" s="9">
        <ns0:f>'Parâmetros'!C71/100</ns0:f>
        <ns0:v>0.027999999999999997</ns0:v>
      </ns0:c>
    </ns0:row>
    <ns0:row r="181" ht="26" customHeight="1">
      <ns0:c r="A181" s="15" t="n"/>
      <ns0:c r="B181" s="16" t="inlineStr">
        <ns0:is>
          <ns0:t>IV</ns0:t>
        </ns0:is>
      </ns0:c>
      <ns0:c r="C181" s="17" t="str">
        <ns0:f> "+"&amp;TEXT('Parâmetros'!D22,"0.00")&amp;IF('Parâmetros'!C22="valor_fixo"," R$ / ","% / ")&amp;'Parâmetros'!E22</ns0:f>
        <ns0:v>+15.00% / III</ns0:v>
      </ns0:c>
      <ns0:c r="D181" s="19">
        <ns0:f>'Parâmetros'!C71/100</ns0:f>
        <ns0:v>0.027999999999999997</ns0:v>
      </ns0:c>
      <ns0:c r="E181" s="45" t="n"/>
      <ns0:c r="F181" s="45" t="n"/>
      <ns0:c r="G181" s="45" t="n"/>
      <ns0:c r="H181" s="45" t="n"/>
      <ns0:c r="I181" s="45" t="n"/>
      <ns0:c r="J181" s="45" t="n"/>
      <ns0:c r="K181" s="45" t="n"/>
      <ns0:c r="L181" s="45" t="n"/>
      <ns0:c r="M181" s="45" t="n"/>
      <ns0:c r="N181" s="45" t="n"/>
      <ns0:c r="O181" s="45" t="n"/>
      <ns0:c r="P181" s="45" t="n"/>
      <ns0:c r="Q181" s="45" t="n"/>
      <ns0:c r="R181" s="45" t="n"/>
    </ns0:row>
    <ns0:row r="184" ht="28" customHeight="1">
      <ns0:c r="A184" s="5" t="inlineStr">
        <ns0:is>
          <ns0:t>• TABELA DE VENCIMENTOS 2026 •</ns0:t>
        </ns0:is>
      </ns0:c>
      <ns0:c r="B184" s="5" t="n"/>
      <ns0:c r="C184" s="5" t="n"/>
      <ns0:c r="D184" s="5" t="n"/>
      <ns0:c r="E184" s="5" t="n"/>
      <ns0:c r="F184" s="5" t="n"/>
      <ns0:c r="G184" s="5" t="n"/>
      <ns0:c r="H184" s="5" t="n"/>
      <ns0:c r="I184" s="5" t="n"/>
      <ns0:c r="J184" s="5" t="n"/>
      <ns0:c r="K184" s="5" t="n"/>
      <ns0:c r="L184" s="5" t="n"/>
      <ns0:c r="M184" s="5" t="n"/>
      <ns0:c r="N184" s="5" t="n"/>
      <ns0:c r="O184" s="5" t="n"/>
      <ns0:c r="P184" s="5" t="n"/>
      <ns0:c r="Q184" s="5" t="n"/>
      <ns0:c r="R184" s="5" t="n"/>
    </ns0:row>
    <ns0:row r="185" ht="24" customHeight="1">
      <ns0:c r="A185" s="6" t="inlineStr">
        <ns0:is>
          <ns0:t>AUXILIAR ADMINISTRATIVO OPERACIONAL — 40 HORAS</ns0:t>
        </ns0:is>
      </ns0:c>
      <ns0:c r="B185" s="6" t="n"/>
      <ns0:c r="C185" s="6" t="n"/>
      <ns0:c r="D185" s="6" t="n"/>
      <ns0:c r="E185" s="6" t="n"/>
      <ns0:c r="F185" s="6" t="n"/>
      <ns0:c r="G185" s="6" t="n"/>
      <ns0:c r="H185" s="6" t="n"/>
      <ns0:c r="I185" s="6" t="n"/>
      <ns0:c r="J185" s="6" t="n"/>
      <ns0:c r="K185" s="6" t="n"/>
      <ns0:c r="L185" s="6" t="n"/>
      <ns0:c r="M185" s="6" t="n"/>
      <ns0:c r="N185" s="6" t="n"/>
      <ns0:c r="O185" s="6" t="n"/>
      <ns0:c r="P185" s="6" t="n"/>
      <ns0:c r="Q185" s="6" t="n"/>
      <ns0:c r="R185" s="6" t="n"/>
    </ns0:row>
    <ns0:row r="186" ht="28" customHeight="1">
      <ns0:c r="A186" s="7" t="inlineStr">
        <ns0:is>
          <ns0:t>Classes →</ns0:t>
        </ns0:is>
      </ns0:c>
      <ns0:c r="B186" s="7" t="inlineStr">
        <ns0:is>
          <ns0:t>Nível</ns0:t>
        </ns0:is>
      </ns0:c>
      <ns0:c r="C186" s="7" t="inlineStr">
        <ns0:is>
          <ns0:t>Regra vertical</ns0:t>
        </ns0:is>
      </ns0:c>
      <ns0:c r="D186" s="7" t="inlineStr">
        <ns0:is>
          <ns0:t>XLVI</ns0:t>
        </ns0:is>
      </ns0:c>
      <ns0:c r="E186" s="7" t="n"/>
      <ns0:c r="F186" s="7" t="n"/>
      <ns0:c r="G186" s="7" t="n"/>
      <ns0:c r="H186" s="7" t="n"/>
      <ns0:c r="I186" s="7" t="n"/>
      <ns0:c r="J186" s="7" t="n"/>
      <ns0:c r="K186" s="7" t="n"/>
      <ns0:c r="L186" s="7" t="n"/>
      <ns0:c r="M186" s="7" t="n"/>
      <ns0:c r="N186" s="7" t="n"/>
      <ns0:c r="O186" s="7" t="n"/>
      <ns0:c r="P186" s="7" t="n"/>
      <ns0:c r="Q186" s="7" t="n"/>
      <ns0:c r="R186" s="7" t="n"/>
    </ns0:row>
    <ns0:row r="187" ht="26" customHeight="1">
      <ns0:c r="A187" s="3" t="inlineStr">
        <ns0:is>
          <ns0:t>Níveis ↓</ns0:t>
        </ns0:is>
      </ns0:c>
      <ns0:c r="B187" s="3" t="inlineStr">
        <ns0:is>
          <ns0:t>I</ns0:t>
        </ns0:is>
      </ns0:c>
      <ns0:c r="C187" s="3" t="inlineStr">
        <ns0:is>
          <ns0:t>Base</ns0:t>
        </ns0:is>
      </ns0:c>
      <ns0:c r="D187" s="4">
        <ns0:f>'Dados originais'!AW4</ns0:f>
        <ns0:v>7555.0</ns0:v>
      </ns0:c>
    </ns0:row>
    <ns0:row r="188" ht="26" customHeight="1">
      <ns0:c r="B188" s="10" t="inlineStr">
        <ns0:is>
          <ns0:t>II</ns0:t>
        </ns0:is>
      </ns0:c>
      <ns0:c r="C188" s="11" t="str">
        <ns0:f> "+"&amp;TEXT('Parâmetros'!D20,"0.00")&amp;IF('Parâmetros'!C20="valor_fixo"," R$ / ","% / ")&amp;'Parâmetros'!E20</ns0:f>
        <ns0:v>+15.00% / I</ns0:v>
      </ns0:c>
      <ns0:c r="D188" s="20">
        <ns0:f>'Dados originais'!AW5</ns0:f>
        <ns0:v>8688.25</ns0:v>
      </ns0:c>
      <ns0:c r="E188" s="44" t="n"/>
      <ns0:c r="F188" s="44" t="n"/>
      <ns0:c r="G188" s="44" t="n"/>
      <ns0:c r="H188" s="44" t="n"/>
      <ns0:c r="I188" s="44" t="n"/>
      <ns0:c r="J188" s="44" t="n"/>
      <ns0:c r="K188" s="44" t="n"/>
      <ns0:c r="L188" s="44" t="n"/>
      <ns0:c r="M188" s="44" t="n"/>
      <ns0:c r="N188" s="44" t="n"/>
      <ns0:c r="O188" s="44" t="n"/>
      <ns0:c r="P188" s="44" t="n"/>
      <ns0:c r="Q188" s="44" t="n"/>
      <ns0:c r="R188" s="44" t="n"/>
    </ns0:row>
    <ns0:row r="189" ht="26" customHeight="1">
      <ns0:c r="B189" s="3" t="inlineStr">
        <ns0:is>
          <ns0:t>III</ns0:t>
        </ns0:is>
      </ns0:c>
      <ns0:c r="C189" s="14" t="str">
        <ns0:f> "+"&amp;TEXT('Parâmetros'!D21,"0.00")&amp;IF('Parâmetros'!C21="valor_fixo"," R$ / ","% / ")&amp;'Parâmetros'!E21</ns0:f>
        <ns0:v>+15.00% / II</ns0:v>
      </ns0:c>
      <ns0:c r="D189" s="4">
        <ns0:f>'Dados originais'!AW6</ns0:f>
        <ns0:v>9991.49</ns0:v>
      </ns0:c>
    </ns0:row>
    <ns0:row r="190" ht="26" customHeight="1">
      <ns0:c r="A190" s="15" t="n"/>
      <ns0:c r="B190" s="16" t="inlineStr">
        <ns0:is>
          <ns0:t>IV</ns0:t>
        </ns0:is>
      </ns0:c>
      <ns0:c r="C190" s="17" t="str">
        <ns0:f> "+"&amp;TEXT('Parâmetros'!D22,"0.00")&amp;IF('Parâmetros'!C22="valor_fixo"," R$ / ","% / ")&amp;'Parâmetros'!E22</ns0:f>
        <ns0:v>+15.00% / III</ns0:v>
      </ns0:c>
      <ns0:c r="D190" s="21">
        <ns0:f>'Dados originais'!AW7</ns0:f>
        <ns0:v>11490.21</ns0:v>
      </ns0:c>
      <ns0:c r="E190" s="45" t="n"/>
      <ns0:c r="F190" s="45" t="n"/>
      <ns0:c r="G190" s="45" t="n"/>
      <ns0:c r="H190" s="45" t="n"/>
      <ns0:c r="I190" s="45" t="n"/>
      <ns0:c r="J190" s="45" t="n"/>
      <ns0:c r="K190" s="45" t="n"/>
      <ns0:c r="L190" s="45" t="n"/>
      <ns0:c r="M190" s="45" t="n"/>
      <ns0:c r="N190" s="45" t="n"/>
      <ns0:c r="O190" s="45" t="n"/>
      <ns0:c r="P190" s="45" t="n"/>
      <ns0:c r="Q190" s="45" t="n"/>
      <ns0:c r="R190" s="45" t="n"/>
    </ns0:row>
    <ns0:row r="193" ht="28" customHeight="1">
      <ns0:c r="A193" s="22" t="inlineStr">
        <ns0:is>
          <ns0:t>• TABELA DE VENCIMENTOS — REFERÊNCIA Cenário didático: base inicial +5% •</ns0:t>
        </ns0:is>
      </ns0:c>
      <ns0:c r="B193" s="22" t="n"/>
      <ns0:c r="C193" s="22" t="n"/>
      <ns0:c r="D193" s="22" t="n"/>
      <ns0:c r="E193" s="22" t="n"/>
      <ns0:c r="F193" s="22" t="n"/>
      <ns0:c r="G193" s="22" t="n"/>
      <ns0:c r="H193" s="22" t="n"/>
      <ns0:c r="I193" s="22" t="n"/>
      <ns0:c r="J193" s="22" t="n"/>
      <ns0:c r="K193" s="22" t="n"/>
      <ns0:c r="L193" s="22" t="n"/>
      <ns0:c r="M193" s="22" t="n"/>
      <ns0:c r="N193" s="22" t="n"/>
      <ns0:c r="O193" s="22" t="n"/>
      <ns0:c r="P193" s="22" t="n"/>
      <ns0:c r="Q193" s="22" t="n"/>
      <ns0:c r="R193" s="22" t="n"/>
    </ns0:row>
    <ns0:row r="194" ht="24" customHeight="1">
      <ns0:c r="A194" s="23" t="inlineStr">
        <ns0:is>
          <ns0:t>AUXILIAR ADMINISTRATIVO OPERACIONAL — 40 HORAS</ns0:t>
        </ns0:is>
      </ns0:c>
      <ns0:c r="B194" s="23" t="n"/>
      <ns0:c r="C194" s="23" t="n"/>
      <ns0:c r="D194" s="23" t="n"/>
      <ns0:c r="E194" s="23" t="n"/>
      <ns0:c r="F194" s="23" t="n"/>
      <ns0:c r="G194" s="23" t="n"/>
      <ns0:c r="H194" s="23" t="n"/>
      <ns0:c r="I194" s="23" t="n"/>
      <ns0:c r="J194" s="23" t="n"/>
      <ns0:c r="K194" s="23" t="n"/>
      <ns0:c r="L194" s="23" t="n"/>
      <ns0:c r="M194" s="23" t="n"/>
      <ns0:c r="N194" s="23" t="n"/>
      <ns0:c r="O194" s="23" t="n"/>
      <ns0:c r="P194" s="23" t="n"/>
      <ns0:c r="Q194" s="23" t="n"/>
      <ns0:c r="R194" s="23" t="n"/>
    </ns0:row>
    <ns0:row r="195" ht="28" customHeight="1">
      <ns0:c r="A195" s="24" t="inlineStr">
        <ns0:is>
          <ns0:t>Classes →</ns0:t>
        </ns0:is>
      </ns0:c>
      <ns0:c r="B195" s="24" t="inlineStr">
        <ns0:is>
          <ns0:t>Nível</ns0:t>
        </ns0:is>
      </ns0:c>
      <ns0:c r="C195" s="24" t="inlineStr">
        <ns0:is>
          <ns0:t>Regra vertical</ns0:t>
        </ns0:is>
      </ns0:c>
      <ns0:c r="D195" s="24" t="inlineStr">
        <ns0:is>
          <ns0:t>XLVI</ns0:t>
        </ns0:is>
      </ns0:c>
      <ns0:c r="E195" s="24" t="n"/>
      <ns0:c r="F195" s="24" t="n"/>
      <ns0:c r="G195" s="24" t="n"/>
      <ns0:c r="H195" s="24" t="n"/>
      <ns0:c r="I195" s="24" t="n"/>
      <ns0:c r="J195" s="24" t="n"/>
      <ns0:c r="K195" s="24" t="n"/>
      <ns0:c r="L195" s="24" t="n"/>
      <ns0:c r="M195" s="24" t="n"/>
      <ns0:c r="N195" s="24" t="n"/>
      <ns0:c r="O195" s="24" t="n"/>
      <ns0:c r="P195" s="24" t="n"/>
      <ns0:c r="Q195" s="24" t="n"/>
      <ns0:c r="R195" s="24" t="n"/>
    </ns0:row>
    <ns0:row r="196" ht="26" customHeight="1">
      <ns0:c r="A196" s="3" t="inlineStr">
        <ns0:is>
          <ns0:t>Níveis ↓</ns0:t>
        </ns0:is>
      </ns0:c>
      <ns0:c r="B196" s="3" t="inlineStr">
        <ns0:is>
          <ns0:t>I</ns0:t>
        </ns0:is>
      </ns0:c>
      <ns0:c r="C196" s="3" t="inlineStr">
        <ns0:is>
          <ns0:t>Base</ns0:t>
        </ns0:is>
      </ns0:c>
      <ns0:c r="D196" s="4">
        <ns0:f>IF('Parâmetros'!$B$12="truncar",ROUNDDOWN(R140*(1+'Parâmetros'!C71/100),2),ROUND(R140*(1+'Parâmetros'!C71/100),2))</ns0:f>
        <ns0:v>7932.68</ns0:v>
      </ns0:c>
    </ns0:row>
    <ns0:row r="197" ht="26" customHeight="1">
      <ns0:c r="B197" s="25" t="inlineStr">
        <ns0:is>
          <ns0:t>II</ns0:t>
        </ns0:is>
      </ns0:c>
      <ns0:c r="C197" s="26" t="str">
        <ns0:f> "+"&amp;TEXT('Parâmetros'!D20,"0.00")&amp;IF('Parâmetros'!C20="valor_fixo"," R$ / ","% / ")&amp;'Parâmetros'!E20</ns0:f>
        <ns0:v>+15.00% / I</ns0:v>
      </ns0:c>
      <ns0:c r="D197" s="27">
        <ns0:f>IF('Parâmetros'!$B$12="truncar",ROUNDDOWN(R141*(1+'Parâmetros'!C71/100),2),ROUND(R141*(1+'Parâmetros'!C71/100),2))</ns0:f>
        <ns0:v>9122.66</ns0:v>
      </ns0:c>
      <ns0:c r="E197" s="46" t="n"/>
      <ns0:c r="F197" s="46" t="n"/>
      <ns0:c r="G197" s="46" t="n"/>
      <ns0:c r="H197" s="46" t="n"/>
      <ns0:c r="I197" s="46" t="n"/>
      <ns0:c r="J197" s="46" t="n"/>
      <ns0:c r="K197" s="46" t="n"/>
      <ns0:c r="L197" s="46" t="n"/>
      <ns0:c r="M197" s="46" t="n"/>
      <ns0:c r="N197" s="46" t="n"/>
      <ns0:c r="O197" s="46" t="n"/>
      <ns0:c r="P197" s="46" t="n"/>
      <ns0:c r="Q197" s="46" t="n"/>
      <ns0:c r="R197" s="46" t="n"/>
    </ns0:row>
    <ns0:row r="198" ht="26" customHeight="1">
      <ns0:c r="B198" s="3" t="inlineStr">
        <ns0:is>
          <ns0:t>III</ns0:t>
        </ns0:is>
      </ns0:c>
      <ns0:c r="C198" s="14" t="str">
        <ns0:f> "+"&amp;TEXT('Parâmetros'!D21,"0.00")&amp;IF('Parâmetros'!C21="valor_fixo"," R$ / ","% / ")&amp;'Parâmetros'!E21</ns0:f>
        <ns0:v>+15.00% / II</ns0:v>
      </ns0:c>
      <ns0:c r="D198" s="4">
        <ns0:f>IF('Parâmetros'!$B$12="truncar",ROUNDDOWN(R142*(1+'Parâmetros'!C71/100),2),ROUND(R142*(1+'Parâmetros'!C71/100),2))</ns0:f>
        <ns0:v>10491.06</ns0:v>
      </ns0:c>
    </ns0:row>
    <ns0:row r="199" ht="26" customHeight="1">
      <ns0:c r="A199" s="28" t="n"/>
      <ns0:c r="B199" s="29" t="inlineStr">
        <ns0:is>
          <ns0:t>IV</ns0:t>
        </ns0:is>
      </ns0:c>
      <ns0:c r="C199" s="30" t="str">
        <ns0:f> "+"&amp;TEXT('Parâmetros'!D22,"0.00")&amp;IF('Parâmetros'!C22="valor_fixo"," R$ / ","% / ")&amp;'Parâmetros'!E22</ns0:f>
        <ns0:v>+15.00% / III</ns0:v>
      </ns0:c>
      <ns0:c r="D199" s="31">
        <ns0:f>IF('Parâmetros'!$B$12="truncar",ROUNDDOWN(R143*(1+'Parâmetros'!C71/100),2),ROUND(R143*(1+'Parâmetros'!C71/100),2))</ns0:f>
        <ns0:v>12064.68</ns0:v>
      </ns0:c>
      <ns0:c r="E199" s="47" t="n"/>
      <ns0:c r="F199" s="47" t="n"/>
      <ns0:c r="G199" s="47" t="n"/>
      <ns0:c r="H199" s="47" t="n"/>
      <ns0:c r="I199" s="47" t="n"/>
      <ns0:c r="J199" s="47" t="n"/>
      <ns0:c r="K199" s="47" t="n"/>
      <ns0:c r="L199" s="47" t="n"/>
      <ns0:c r="M199" s="47" t="n"/>
      <ns0:c r="N199" s="47" t="n"/>
      <ns0:c r="O199" s="47" t="n"/>
      <ns0:c r="P199" s="47" t="n"/>
      <ns0:c r="Q199" s="47" t="n"/>
      <ns0:c r="R199" s="47" t="n"/>
    </ns0:row>
    <ns0:row r="202" ht="35" customHeight="1">
      <ns0:c r="A202" s="2" t="str">
        <ns0:f>"Neste bloco: "&amp;SUMPRODUCT(--(D187:D190&lt;D196:D199))&amp;" vencimentos abaixo da referência de carreira; "&amp;COUNTIF(D187:D190,"&lt;"&amp;$D$4)&amp;" abaixo da base inicial (em vermelho)."</ns0:f>
        <ns0:v>Neste bloco: 4 vencimentos abaixo da referência de carreira; 0 abaixo da base inicial (em vermelho).</ns0:v>
      </ns0:c>
      <ns0:c r="B202" s="2" t="n"/>
      <ns0:c r="C202" s="2" t="n"/>
      <ns0:c r="D202" s="2" t="n"/>
      <ns0:c r="E202" s="2" t="n"/>
      <ns0:c r="F202" s="2" t="n"/>
      <ns0:c r="G202" s="2" t="n"/>
      <ns0:c r="H202" s="2" t="n"/>
      <ns0:c r="I202" s="2" t="n"/>
      <ns0:c r="J202" s="2" t="n"/>
      <ns0:c r="K202" s="2" t="n"/>
      <ns0:c r="L202" s="2" t="n"/>
      <ns0:c r="M202" s="2" t="n"/>
      <ns0:c r="N202" s="2" t="n"/>
      <ns0:c r="O202" s="2" t="n"/>
      <ns0:c r="P202" s="2" t="n"/>
      <ns0:c r="Q202" s="2" t="n"/>
      <ns0:c r="R202" s="2" t="n"/>
    </ns0:row>
    <ns0:row r="204" ht="28" customHeight="1">
      <ns0:c r="A204" s="5" t="inlineStr">
        <ns0:is>
          <ns0:t>NÃO CONFORMIDADES EM RELAÇÃO À REFERÊNCIA</ns0:t>
        </ns0:is>
      </ns0:c>
      <ns0:c r="B204" s="5" t="n"/>
      <ns0:c r="C204" s="5" t="n"/>
      <ns0:c r="D204" s="5" t="n"/>
      <ns0:c r="E204" s="5" t="n"/>
      <ns0:c r="F204" s="5" t="n"/>
      <ns0:c r="G204" s="5" t="n"/>
      <ns0:c r="H204" s="5" t="n"/>
      <ns0:c r="I204" s="5" t="n"/>
      <ns0:c r="J204" s="5" t="n"/>
      <ns0:c r="K204" s="5" t="n"/>
      <ns0:c r="L204" s="5" t="n"/>
      <ns0:c r="M204" s="5" t="n"/>
      <ns0:c r="N204" s="5" t="n"/>
      <ns0:c r="O204" s="5" t="n"/>
      <ns0:c r="P204" s="5" t="n"/>
      <ns0:c r="Q204" s="5" t="n"/>
      <ns0:c r="R204" s="5" t="n"/>
    </ns0:row>
    <ns0:row r="205" ht="24" customHeight="1">
      <ns0:c r="A205" s="6" t="inlineStr">
        <ns0:is>
          <ns0:t>AUXILIAR ADMINISTRATIVO OPERACIONAL — 40 HORAS</ns0:t>
        </ns0:is>
      </ns0:c>
      <ns0:c r="B205" s="6" t="n"/>
      <ns0:c r="C205" s="6" t="n"/>
      <ns0:c r="D205" s="6" t="n"/>
      <ns0:c r="E205" s="6" t="n"/>
      <ns0:c r="F205" s="6" t="n"/>
      <ns0:c r="G205" s="6" t="n"/>
      <ns0:c r="H205" s="6" t="n"/>
      <ns0:c r="I205" s="6" t="n"/>
      <ns0:c r="J205" s="6" t="n"/>
      <ns0:c r="K205" s="6" t="n"/>
      <ns0:c r="L205" s="6" t="n"/>
      <ns0:c r="M205" s="6" t="n"/>
      <ns0:c r="N205" s="6" t="n"/>
      <ns0:c r="O205" s="6" t="n"/>
      <ns0:c r="P205" s="6" t="n"/>
      <ns0:c r="Q205" s="6" t="n"/>
      <ns0:c r="R205" s="6" t="n"/>
    </ns0:row>
    <ns0:row r="206" ht="28" customHeight="1">
      <ns0:c r="A206" s="7" t="inlineStr">
        <ns0:is>
          <ns0:t>Classes →</ns0:t>
        </ns0:is>
      </ns0:c>
      <ns0:c r="B206" s="7" t="inlineStr">
        <ns0:is>
          <ns0:t>Nível</ns0:t>
        </ns0:is>
      </ns0:c>
      <ns0:c r="C206" s="7" t="inlineStr">
        <ns0:is>
          <ns0:t>Regra vertical</ns0:t>
        </ns0:is>
      </ns0:c>
      <ns0:c r="D206" s="7" t="inlineStr">
        <ns0:is>
          <ns0:t>XLVI</ns0:t>
        </ns0:is>
      </ns0:c>
      <ns0:c r="E206" s="7" t="n"/>
      <ns0:c r="F206" s="7" t="n"/>
      <ns0:c r="G206" s="7" t="n"/>
      <ns0:c r="H206" s="7" t="n"/>
      <ns0:c r="I206" s="7" t="n"/>
      <ns0:c r="J206" s="7" t="n"/>
      <ns0:c r="K206" s="7" t="n"/>
      <ns0:c r="L206" s="7" t="n"/>
      <ns0:c r="M206" s="7" t="n"/>
      <ns0:c r="N206" s="7" t="n"/>
      <ns0:c r="O206" s="7" t="n"/>
      <ns0:c r="P206" s="7" t="n"/>
      <ns0:c r="Q206" s="7" t="n"/>
      <ns0:c r="R206" s="7" t="n"/>
    </ns0:row>
    <ns0:row r="207" ht="26" customHeight="1">
      <ns0:c r="A207" s="3" t="inlineStr">
        <ns0:is>
          <ns0:t>Níveis ↓</ns0:t>
        </ns0:is>
      </ns0:c>
      <ns0:c r="B207" s="3" t="inlineStr">
        <ns0:is>
          <ns0:t>I</ns0:t>
        </ns0:is>
      </ns0:c>
      <ns0:c r="C207" s="3" t="inlineStr">
        <ns0:is>
          <ns0:t>Base</ns0:t>
        </ns0:is>
      </ns0:c>
      <ns0:c r="D207" s="4">
        <ns0:f>'Dados originais'!AW4</ns0:f>
        <ns0:v>7555.0</ns0:v>
      </ns0:c>
    </ns0:row>
    <ns0:row r="208" ht="26" customHeight="1">
      <ns0:c r="B208" s="10" t="inlineStr">
        <ns0:is>
          <ns0:t>II</ns0:t>
        </ns0:is>
      </ns0:c>
      <ns0:c r="C208" s="11" t="str">
        <ns0:f> "+"&amp;TEXT('Parâmetros'!D20,"0.00")&amp;IF('Parâmetros'!C20="valor_fixo"," R$ / ","% / ")&amp;'Parâmetros'!E20</ns0:f>
        <ns0:v>+15.00% / I</ns0:v>
      </ns0:c>
      <ns0:c r="D208" s="20">
        <ns0:f>'Dados originais'!AW5</ns0:f>
        <ns0:v>8688.25</ns0:v>
      </ns0:c>
      <ns0:c r="E208" s="44" t="n"/>
      <ns0:c r="F208" s="44" t="n"/>
      <ns0:c r="G208" s="44" t="n"/>
      <ns0:c r="H208" s="44" t="n"/>
      <ns0:c r="I208" s="44" t="n"/>
      <ns0:c r="J208" s="44" t="n"/>
      <ns0:c r="K208" s="44" t="n"/>
      <ns0:c r="L208" s="44" t="n"/>
      <ns0:c r="M208" s="44" t="n"/>
      <ns0:c r="N208" s="44" t="n"/>
      <ns0:c r="O208" s="44" t="n"/>
      <ns0:c r="P208" s="44" t="n"/>
      <ns0:c r="Q208" s="44" t="n"/>
      <ns0:c r="R208" s="44" t="n"/>
    </ns0:row>
    <ns0:row r="209" ht="26" customHeight="1">
      <ns0:c r="B209" s="3" t="inlineStr">
        <ns0:is>
          <ns0:t>III</ns0:t>
        </ns0:is>
      </ns0:c>
      <ns0:c r="C209" s="14" t="str">
        <ns0:f> "+"&amp;TEXT('Parâmetros'!D21,"0.00")&amp;IF('Parâmetros'!C21="valor_fixo"," R$ / ","% / ")&amp;'Parâmetros'!E21</ns0:f>
        <ns0:v>+15.00% / II</ns0:v>
      </ns0:c>
      <ns0:c r="D209" s="4">
        <ns0:f>'Dados originais'!AW6</ns0:f>
        <ns0:v>9991.49</ns0:v>
      </ns0:c>
    </ns0:row>
    <ns0:row r="210" ht="26" customHeight="1">
      <ns0:c r="A210" s="15" t="n"/>
      <ns0:c r="B210" s="16" t="inlineStr">
        <ns0:is>
          <ns0:t>IV</ns0:t>
        </ns0:is>
      </ns0:c>
      <ns0:c r="C210" s="17" t="str">
        <ns0:f> "+"&amp;TEXT('Parâmetros'!D22,"0.00")&amp;IF('Parâmetros'!C22="valor_fixo"," R$ / ","% / ")&amp;'Parâmetros'!E22</ns0:f>
        <ns0:v>+15.00% / III</ns0:v>
      </ns0:c>
      <ns0:c r="D210" s="21">
        <ns0:f>'Dados originais'!AW7</ns0:f>
        <ns0:v>11490.21</ns0:v>
      </ns0:c>
      <ns0:c r="E210" s="45" t="n"/>
      <ns0:c r="F210" s="45" t="n"/>
      <ns0:c r="G210" s="45" t="n"/>
      <ns0:c r="H210" s="45" t="n"/>
      <ns0:c r="I210" s="45" t="n"/>
      <ns0:c r="J210" s="45" t="n"/>
      <ns0:c r="K210" s="45" t="n"/>
      <ns0:c r="L210" s="45" t="n"/>
      <ns0:c r="M210" s="45" t="n"/>
      <ns0:c r="N210" s="45" t="n"/>
      <ns0:c r="O210" s="45" t="n"/>
      <ns0:c r="P210" s="45" t="n"/>
      <ns0:c r="Q210" s="45" t="n"/>
      <ns0:c r="R210" s="45" t="n"/>
    </ns0:row>
    <ns0:row r="213" ht="28" customHeight="1">
      <ns0:c r="A213" s="32" t="inlineStr">
        <ns0:is>
          <ns0:t>• DEFASAGEM SALARIAL MENSAL •</ns0:t>
        </ns0:is>
      </ns0:c>
      <ns0:c r="B213" s="32" t="n"/>
      <ns0:c r="C213" s="32" t="n"/>
      <ns0:c r="D213" s="32" t="n"/>
      <ns0:c r="E213" s="32" t="n"/>
      <ns0:c r="F213" s="32" t="n"/>
      <ns0:c r="G213" s="32" t="n"/>
      <ns0:c r="H213" s="32" t="n"/>
      <ns0:c r="I213" s="32" t="n"/>
      <ns0:c r="J213" s="32" t="n"/>
      <ns0:c r="K213" s="32" t="n"/>
      <ns0:c r="L213" s="32" t="n"/>
      <ns0:c r="M213" s="32" t="n"/>
      <ns0:c r="N213" s="32" t="n"/>
      <ns0:c r="O213" s="32" t="n"/>
      <ns0:c r="P213" s="32" t="n"/>
      <ns0:c r="Q213" s="32" t="n"/>
      <ns0:c r="R213" s="32" t="n"/>
    </ns0:row>
    <ns0:row r="214" ht="24" customHeight="1">
      <ns0:c r="A214" s="33" t="inlineStr">
        <ns0:is>
          <ns0:t>AUXILIAR ADMINISTRATIVO OPERACIONAL — 40 HORAS</ns0:t>
        </ns0:is>
      </ns0:c>
      <ns0:c r="B214" s="33" t="n"/>
      <ns0:c r="C214" s="33" t="n"/>
      <ns0:c r="D214" s="33" t="n"/>
      <ns0:c r="E214" s="33" t="n"/>
      <ns0:c r="F214" s="33" t="n"/>
      <ns0:c r="G214" s="33" t="n"/>
      <ns0:c r="H214" s="33" t="n"/>
      <ns0:c r="I214" s="33" t="n"/>
      <ns0:c r="J214" s="33" t="n"/>
      <ns0:c r="K214" s="33" t="n"/>
      <ns0:c r="L214" s="33" t="n"/>
      <ns0:c r="M214" s="33" t="n"/>
      <ns0:c r="N214" s="33" t="n"/>
      <ns0:c r="O214" s="33" t="n"/>
      <ns0:c r="P214" s="33" t="n"/>
      <ns0:c r="Q214" s="33" t="n"/>
      <ns0:c r="R214" s="33" t="n"/>
    </ns0:row>
    <ns0:row r="215" ht="28" customHeight="1">
      <ns0:c r="A215" s="34" t="inlineStr">
        <ns0:is>
          <ns0:t>Classes →</ns0:t>
        </ns0:is>
      </ns0:c>
      <ns0:c r="B215" s="34" t="inlineStr">
        <ns0:is>
          <ns0:t>Nível</ns0:t>
        </ns0:is>
      </ns0:c>
      <ns0:c r="C215" s="34" t="inlineStr">
        <ns0:is>
          <ns0:t>Regra vertical</ns0:t>
        </ns0:is>
      </ns0:c>
      <ns0:c r="D215" s="34" t="inlineStr">
        <ns0:is>
          <ns0:t>XLVI</ns0:t>
        </ns0:is>
      </ns0:c>
      <ns0:c r="E215" s="34" t="n"/>
      <ns0:c r="F215" s="34" t="n"/>
      <ns0:c r="G215" s="34" t="n"/>
      <ns0:c r="H215" s="34" t="n"/>
      <ns0:c r="I215" s="34" t="n"/>
      <ns0:c r="J215" s="34" t="n"/>
      <ns0:c r="K215" s="34" t="n"/>
      <ns0:c r="L215" s="34" t="n"/>
      <ns0:c r="M215" s="34" t="n"/>
      <ns0:c r="N215" s="34" t="n"/>
      <ns0:c r="O215" s="34" t="n"/>
      <ns0:c r="P215" s="34" t="n"/>
      <ns0:c r="Q215" s="34" t="n"/>
      <ns0:c r="R215" s="34" t="n"/>
    </ns0:row>
    <ns0:row r="216" ht="26" customHeight="1">
      <ns0:c r="A216" s="3" t="inlineStr">
        <ns0:is>
          <ns0:t>Níveis ↓</ns0:t>
        </ns0:is>
      </ns0:c>
      <ns0:c r="B216" s="3" t="inlineStr">
        <ns0:is>
          <ns0:t>I</ns0:t>
        </ns0:is>
      </ns0:c>
      <ns0:c r="C216" s="3" t="inlineStr">
        <ns0:is>
          <ns0:t>Base</ns0:t>
        </ns0:is>
      </ns0:c>
      <ns0:c r="D216" s="4">
        <ns0:f>D187-D196</ns0:f>
        <ns0:v>-377.68</ns0:v>
      </ns0:c>
    </ns0:row>
    <ns0:row r="217" ht="26" customHeight="1">
      <ns0:c r="B217" s="35" t="inlineStr">
        <ns0:is>
          <ns0:t>II</ns0:t>
        </ns0:is>
      </ns0:c>
      <ns0:c r="C217" s="36" t="str">
        <ns0:f> "+"&amp;TEXT('Parâmetros'!D20,"0.00")&amp;IF('Parâmetros'!C20="valor_fixo"," R$ / ","% / ")&amp;'Parâmetros'!E20</ns0:f>
        <ns0:v>+15.00% / I</ns0:v>
      </ns0:c>
      <ns0:c r="D217" s="37">
        <ns0:f>D188-D197</ns0:f>
        <ns0:v>-434.41</ns0:v>
      </ns0:c>
      <ns0:c r="E217" s="48" t="n"/>
      <ns0:c r="F217" s="48" t="n"/>
      <ns0:c r="G217" s="48" t="n"/>
      <ns0:c r="H217" s="48" t="n"/>
      <ns0:c r="I217" s="48" t="n"/>
      <ns0:c r="J217" s="48" t="n"/>
      <ns0:c r="K217" s="48" t="n"/>
      <ns0:c r="L217" s="48" t="n"/>
      <ns0:c r="M217" s="48" t="n"/>
      <ns0:c r="N217" s="48" t="n"/>
      <ns0:c r="O217" s="48" t="n"/>
      <ns0:c r="P217" s="48" t="n"/>
      <ns0:c r="Q217" s="48" t="n"/>
      <ns0:c r="R217" s="48" t="n"/>
    </ns0:row>
    <ns0:row r="218" ht="26" customHeight="1">
      <ns0:c r="B218" s="3" t="inlineStr">
        <ns0:is>
          <ns0:t>III</ns0:t>
        </ns0:is>
      </ns0:c>
      <ns0:c r="C218" s="14" t="str">
        <ns0:f> "+"&amp;TEXT('Parâmetros'!D21,"0.00")&amp;IF('Parâmetros'!C21="valor_fixo"," R$ / ","% / ")&amp;'Parâmetros'!E21</ns0:f>
        <ns0:v>+15.00% / II</ns0:v>
      </ns0:c>
      <ns0:c r="D218" s="4">
        <ns0:f>D189-D198</ns0:f>
        <ns0:v>-499.57</ns0:v>
      </ns0:c>
    </ns0:row>
    <ns0:row r="219" ht="26" customHeight="1">
      <ns0:c r="A219" s="38" t="n"/>
      <ns0:c r="B219" s="39" t="inlineStr">
        <ns0:is>
          <ns0:t>IV</ns0:t>
        </ns0:is>
      </ns0:c>
      <ns0:c r="C219" s="40" t="str">
        <ns0:f> "+"&amp;TEXT('Parâmetros'!D22,"0.00")&amp;IF('Parâmetros'!C22="valor_fixo"," R$ / ","% / ")&amp;'Parâmetros'!E22</ns0:f>
        <ns0:v>+15.00% / III</ns0:v>
      </ns0:c>
      <ns0:c r="D219" s="41">
        <ns0:f>D190-D199</ns0:f>
        <ns0:v>-574.47</ns0:v>
      </ns0:c>
      <ns0:c r="E219" s="49" t="n"/>
      <ns0:c r="F219" s="49" t="n"/>
      <ns0:c r="G219" s="49" t="n"/>
      <ns0:c r="H219" s="49" t="n"/>
      <ns0:c r="I219" s="49" t="n"/>
      <ns0:c r="J219" s="49" t="n"/>
      <ns0:c r="K219" s="49" t="n"/>
      <ns0:c r="L219" s="49" t="n"/>
      <ns0:c r="M219" s="49" t="n"/>
      <ns0:c r="N219" s="49" t="n"/>
      <ns0:c r="O219" s="49" t="n"/>
      <ns0:c r="P219" s="49" t="n"/>
      <ns0:c r="Q219" s="49" t="n"/>
      <ns0:c r="R219" s="49" t="n"/>
    </ns0:row>
    <ns0:row r="222" ht="30" customHeight="1">
      <ns0:c r="A222" s="2" t="inlineStr">
        <ns0:is>
          <ns0:t>Defasagem = referência ÷ atual − 1. Diferença mensal = atual − referência; negativa indica valor abaixo da referência.</ns0:t>
        </ns0:is>
      </ns0:c>
      <ns0:c r="B222" s="2" t="n"/>
      <ns0:c r="C222" s="2" t="n"/>
      <ns0:c r="D222" s="2" t="n"/>
      <ns0:c r="E222" s="2" t="n"/>
      <ns0:c r="F222" s="2" t="n"/>
      <ns0:c r="G222" s="2" t="n"/>
      <ns0:c r="H222" s="2" t="n"/>
      <ns0:c r="I222" s="2" t="n"/>
      <ns0:c r="J222" s="2" t="n"/>
      <ns0:c r="K222" s="2" t="n"/>
      <ns0:c r="L222" s="2" t="n"/>
      <ns0:c r="M222" s="2" t="n"/>
      <ns0:c r="N222" s="2" t="n"/>
      <ns0:c r="O222" s="2" t="n"/>
      <ns0:c r="P222" s="2" t="n"/>
      <ns0:c r="Q222" s="2" t="n"/>
      <ns0:c r="R222" s="2" t="n"/>
    </ns0:row>
    <ns0:row r="224" ht="30" customHeight="1">
      <ns0:c r="A224" s="42" t="inlineStr">
        <ns0:is>
          <ns0:t>DEFASAGEM SALARIAL EM RELAÇÃO À REFERÊNCIA</ns0:t>
        </ns0:is>
      </ns0:c>
      <ns0:c r="B224" s="42" t="n"/>
      <ns0:c r="C224" s="42" t="n"/>
      <ns0:c r="D224" s="42" t="n"/>
      <ns0:c r="E224" s="42" t="n"/>
      <ns0:c r="F224" s="42" t="n"/>
      <ns0:c r="G224" s="42" t="n"/>
      <ns0:c r="H224" s="42" t="n"/>
      <ns0:c r="I224" s="42" t="n"/>
      <ns0:c r="J224" s="42" t="n"/>
      <ns0:c r="K224" s="42" t="n"/>
      <ns0:c r="L224" s="42" t="n"/>
      <ns0:c r="M224" s="42" t="n"/>
      <ns0:c r="N224" s="42" t="n"/>
      <ns0:c r="O224" s="43">
        <ns0:f>D28/D19-1</ns0:f>
        <ns0:v>0.049999</ns0:v>
      </ns0:c>
      <ns0:c r="P224" s="42" t="n"/>
      <ns0:c r="Q224" s="42" t="n"/>
      <ns0:c r="R224" s="42" t="n"/>
    </ns0:row>
    <ns0:row r="225" ht="24" customHeight="1">
      <ns0:c r="A225" s="42" t="n"/>
      <ns0:c r="B225" s="42" t="n"/>
      <ns0:c r="C225" s="42" t="n"/>
      <ns0:c r="D225" s="42" t="n"/>
      <ns0:c r="E225" s="42" t="n"/>
      <ns0:c r="F225" s="42" t="n"/>
      <ns0:c r="G225" s="42" t="n"/>
      <ns0:c r="H225" s="42" t="n"/>
      <ns0:c r="I225" s="42" t="n"/>
      <ns0:c r="J225" s="42" t="n"/>
      <ns0:c r="K225" s="42" t="n"/>
      <ns0:c r="L225" s="42" t="n"/>
      <ns0:c r="M225" s="42" t="n"/>
      <ns0:c r="N225" s="42" t="n"/>
      <ns0:c r="O225" s="42" t="n"/>
      <ns0:c r="P225" s="42" t="n"/>
      <ns0:c r="Q225" s="42" t="n"/>
      <ns0:c r="R225" s="42" t="n"/>
    </ns0:row>
    <ns0:row r="229" ht="32" customHeight="1">
      <ns0:c r="A229" s="2" t="inlineStr">
        <ns0:is>
          <ns0:t>Níveis: I — Parte permanente — Nível I; II — Parte permanente — Nível II; III — Parte permanente — Nível III; IV — Parte permanente — Nível IV</ns0:t>
        </ns0:is>
      </ns0:c>
      <ns0:c r="B229" s="2" t="n"/>
      <ns0:c r="C229" s="2" t="n"/>
      <ns0:c r="D229" s="2" t="n"/>
      <ns0:c r="E229" s="2" t="n"/>
      <ns0:c r="F229" s="2" t="n"/>
      <ns0:c r="G229" s="2" t="n"/>
      <ns0:c r="H229" s="2" t="n"/>
      <ns0:c r="I229" s="2" t="n"/>
      <ns0:c r="J229" s="2" t="n"/>
      <ns0:c r="K229" s="2" t="n"/>
      <ns0:c r="L229" s="2" t="n"/>
      <ns0:c r="M229" s="2" t="n"/>
      <ns0:c r="N229" s="2" t="n"/>
      <ns0:c r="O229" s="2" t="n"/>
      <ns0:c r="P229" s="2" t="n"/>
      <ns0:c r="Q229" s="2" t="n"/>
      <ns0:c r="R229" s="2" t="n"/>
    </ns0:row>
  </ns0:sheetData>
  <ns0:mergeCells count="85">
    <ns0:mergeCell ref="A7:R7"/>
    <ns0:mergeCell ref="A16:R16"/>
    <ns0:mergeCell ref="A149:R149"/>
    <ns0:mergeCell ref="A214:R214"/>
    <ns0:mergeCell ref="A101:R101"/>
    <ns0:mergeCell ref="A178:A181"/>
    <ns0:mergeCell ref="A2:R2"/>
    <ns0:mergeCell ref="A204:R204"/>
    <ns0:mergeCell ref="A213:R213"/>
    <ns0:mergeCell ref="O112:R113"/>
    <ns0:mergeCell ref="A17:R17"/>
    <ns0:mergeCell ref="A224:N225"/>
    <ns0:mergeCell ref="A10:A13"/>
    <ns0:mergeCell ref="A176:R176"/>
    <ns0:mergeCell ref="A39:A42"/>
    <ns0:mergeCell ref="A61:R61"/>
    <ns0:mergeCell ref="A207:A210"/>
    <ns0:mergeCell ref="A54:R54"/>
    <ns0:mergeCell ref="A137:R137"/>
    <ns0:mergeCell ref="A46:R46"/>
    <ns0:mergeCell ref="A90:R90"/>
    <ns0:mergeCell ref="A26:R26"/>
    <ns0:mergeCell ref="A129:R129"/>
    <ns0:mergeCell ref="A194:R194"/>
    <ns0:mergeCell ref="O168:R169"/>
    <ns0:mergeCell ref="A8:R8"/>
    <ns0:mergeCell ref="A4:C4"/>
    <ns0:mergeCell ref="A184:R184"/>
    <ns0:mergeCell ref="A63:R63"/>
    <ns0:mergeCell ref="A104:A107"/>
    <ns0:mergeCell ref="A160:A163"/>
    <ns0:mergeCell ref="A93:R93"/>
    <ns0:mergeCell ref="A102:R102"/>
    <ns0:mergeCell ref="A117:R117"/>
    <ns0:mergeCell ref="A173:R173"/>
    <ns0:mergeCell ref="A229:R229"/>
    <ns0:mergeCell ref="A34:R34"/>
    <ns0:mergeCell ref="A131:A134"/>
    <ns0:mergeCell ref="A92:R92"/>
    <ns0:mergeCell ref="A157:R157"/>
    <ns0:mergeCell ref="A140:A143"/>
    <ns0:mergeCell ref="A166:R166"/>
    <ns0:mergeCell ref="O224:R225"/>
    <ns0:mergeCell ref="A36:R36"/>
    <ns0:mergeCell ref="A1:R1"/>
    <ns0:mergeCell ref="A45:R45"/>
    <ns0:mergeCell ref="A56:N57"/>
    <ns0:mergeCell ref="A205:R205"/>
    <ns0:mergeCell ref="A128:R128"/>
    <ns0:mergeCell ref="A193:R193"/>
    <ns0:mergeCell ref="A187:A190"/>
    <ns0:mergeCell ref="A37:R37"/>
    <ns0:mergeCell ref="A196:A199"/>
    <ns0:mergeCell ref="A120:R120"/>
    <ns0:mergeCell ref="A84:A87"/>
    <ns0:mergeCell ref="A66:A69"/>
    <ns0:mergeCell ref="A75:A78"/>
    <ns0:mergeCell ref="A185:R185"/>
    <ns0:mergeCell ref="A95:A98"/>
    <ns0:mergeCell ref="A122:A125"/>
    <ns0:mergeCell ref="A148:R148"/>
    <ns0:mergeCell ref="A82:R82"/>
    <ns0:mergeCell ref="A222:R222"/>
    <ns0:mergeCell ref="A28:A31"/>
    <ns0:mergeCell ref="A138:R138"/>
    <ns0:mergeCell ref="A110:R110"/>
    <ns0:mergeCell ref="A168:N169"/>
    <ns0:mergeCell ref="A146:R146"/>
    <ns0:mergeCell ref="A119:R119"/>
    <ns0:mergeCell ref="A48:A51"/>
    <ns0:mergeCell ref="A25:R25"/>
    <ns0:mergeCell ref="A158:R158"/>
    <ns0:mergeCell ref="A3:R3"/>
    <ns0:mergeCell ref="A175:R175"/>
    <ns0:mergeCell ref="O56:R57"/>
    <ns0:mergeCell ref="A112:N113"/>
    <ns0:mergeCell ref="A5:R5"/>
    <ns0:mergeCell ref="A151:A154"/>
    <ns0:mergeCell ref="A72:R72"/>
    <ns0:mergeCell ref="A81:R81"/>
    <ns0:mergeCell ref="A202:R202"/>
    <ns0:mergeCell ref="A19:A22"/>
    <ns0:mergeCell ref="A64:R64"/>
    <ns0:mergeCell ref="A73:R73"/>
    <ns0:mergeCell ref="A216:A219"/>
  </ns0:mergeCells>
  <ns0:conditionalFormatting sqref="D19:R19">
    <ns0:cfRule type="expression" priority="1" dxfId="0">
      <ns0:formula>D19&lt;$D$4</ns0:formula>
    </ns0:cfRule>
  </ns0:conditionalFormatting>
  <ns0:conditionalFormatting sqref="D20:R20">
    <ns0:cfRule type="expression" priority="2" dxfId="0">
      <ns0:formula>D20&lt;$D$4</ns0:formula>
    </ns0:cfRule>
  </ns0:conditionalFormatting>
  <ns0:conditionalFormatting sqref="D21:R21">
    <ns0:cfRule type="expression" priority="3" dxfId="0">
      <ns0:formula>D21&lt;$D$4</ns0:formula>
    </ns0:cfRule>
  </ns0:conditionalFormatting>
  <ns0:conditionalFormatting sqref="D22:R22">
    <ns0:cfRule type="expression" priority="4" dxfId="0">
      <ns0:formula>D22&lt;$D$4</ns0:formula>
    </ns0:cfRule>
  </ns0:conditionalFormatting>
  <ns0:conditionalFormatting sqref="D39:R39">
    <ns0:cfRule type="expression" priority="5" dxfId="0">
      <ns0:formula>D39&lt;$D$4</ns0:formula>
    </ns0:cfRule>
  </ns0:conditionalFormatting>
  <ns0:conditionalFormatting sqref="D40:R40">
    <ns0:cfRule type="expression" priority="6" dxfId="0">
      <ns0:formula>D40&lt;$D$4</ns0:formula>
    </ns0:cfRule>
  </ns0:conditionalFormatting>
  <ns0:conditionalFormatting sqref="D41:R41">
    <ns0:cfRule type="expression" priority="7" dxfId="0">
      <ns0:formula>D41&lt;$D$4</ns0:formula>
    </ns0:cfRule>
  </ns0:conditionalFormatting>
  <ns0:conditionalFormatting sqref="D42:R42">
    <ns0:cfRule type="expression" priority="8" dxfId="0">
      <ns0:formula>D42&lt;$D$4</ns0:formula>
    </ns0:cfRule>
  </ns0:conditionalFormatting>
  <ns0:conditionalFormatting sqref="D75:R75">
    <ns0:cfRule type="expression" priority="9" dxfId="0">
      <ns0:formula>D75&lt;$D$4</ns0:formula>
    </ns0:cfRule>
  </ns0:conditionalFormatting>
  <ns0:conditionalFormatting sqref="D76:R76">
    <ns0:cfRule type="expression" priority="10" dxfId="0">
      <ns0:formula>D76&lt;$D$4</ns0:formula>
    </ns0:cfRule>
  </ns0:conditionalFormatting>
  <ns0:conditionalFormatting sqref="D77:R77">
    <ns0:cfRule type="expression" priority="11" dxfId="0">
      <ns0:formula>D77&lt;$D$4</ns0:formula>
    </ns0:cfRule>
  </ns0:conditionalFormatting>
  <ns0:conditionalFormatting sqref="D78:R78">
    <ns0:cfRule type="expression" priority="12" dxfId="0">
      <ns0:formula>D78&lt;$D$4</ns0:formula>
    </ns0:cfRule>
  </ns0:conditionalFormatting>
  <ns0:conditionalFormatting sqref="D95:R95">
    <ns0:cfRule type="expression" priority="13" dxfId="0">
      <ns0:formula>D95&lt;$D$4</ns0:formula>
    </ns0:cfRule>
  </ns0:conditionalFormatting>
  <ns0:conditionalFormatting sqref="D96:R96">
    <ns0:cfRule type="expression" priority="14" dxfId="0">
      <ns0:formula>D96&lt;$D$4</ns0:formula>
    </ns0:cfRule>
  </ns0:conditionalFormatting>
  <ns0:conditionalFormatting sqref="D97:R97">
    <ns0:cfRule type="expression" priority="15" dxfId="0">
      <ns0:formula>D97&lt;$D$4</ns0:formula>
    </ns0:cfRule>
  </ns0:conditionalFormatting>
  <ns0:conditionalFormatting sqref="D98:R98">
    <ns0:cfRule type="expression" priority="16" dxfId="0">
      <ns0:formula>D98&lt;$D$4</ns0:formula>
    </ns0:cfRule>
  </ns0:conditionalFormatting>
  <ns0:conditionalFormatting sqref="D131:R131">
    <ns0:cfRule type="expression" priority="17" dxfId="0">
      <ns0:formula>D131&lt;$D$4</ns0:formula>
    </ns0:cfRule>
  </ns0:conditionalFormatting>
  <ns0:conditionalFormatting sqref="D132:R132">
    <ns0:cfRule type="expression" priority="18" dxfId="0">
      <ns0:formula>D132&lt;$D$4</ns0:formula>
    </ns0:cfRule>
  </ns0:conditionalFormatting>
  <ns0:conditionalFormatting sqref="D133:R133">
    <ns0:cfRule type="expression" priority="19" dxfId="0">
      <ns0:formula>D133&lt;$D$4</ns0:formula>
    </ns0:cfRule>
  </ns0:conditionalFormatting>
  <ns0:conditionalFormatting sqref="D134:R134">
    <ns0:cfRule type="expression" priority="20" dxfId="0">
      <ns0:formula>D134&lt;$D$4</ns0:formula>
    </ns0:cfRule>
  </ns0:conditionalFormatting>
  <ns0:conditionalFormatting sqref="D151:R151">
    <ns0:cfRule type="expression" priority="21" dxfId="0">
      <ns0:formula>D151&lt;$D$4</ns0:formula>
    </ns0:cfRule>
  </ns0:conditionalFormatting>
  <ns0:conditionalFormatting sqref="D152:R152">
    <ns0:cfRule type="expression" priority="22" dxfId="0">
      <ns0:formula>D152&lt;$D$4</ns0:formula>
    </ns0:cfRule>
  </ns0:conditionalFormatting>
  <ns0:conditionalFormatting sqref="D153:R153">
    <ns0:cfRule type="expression" priority="23" dxfId="0">
      <ns0:formula>D153&lt;$D$4</ns0:formula>
    </ns0:cfRule>
  </ns0:conditionalFormatting>
  <ns0:conditionalFormatting sqref="D154:R154">
    <ns0:cfRule type="expression" priority="24" dxfId="0">
      <ns0:formula>D154&lt;$D$4</ns0:formula>
    </ns0:cfRule>
  </ns0:conditionalFormatting>
  <ns0:conditionalFormatting sqref="D187">
    <ns0:cfRule type="expression" priority="25" dxfId="0">
      <ns0:formula>D187&lt;$D$4</ns0:formula>
    </ns0:cfRule>
  </ns0:conditionalFormatting>
  <ns0:conditionalFormatting sqref="D188">
    <ns0:cfRule type="expression" priority="26" dxfId="0">
      <ns0:formula>D188&lt;$D$4</ns0:formula>
    </ns0:cfRule>
  </ns0:conditionalFormatting>
  <ns0:conditionalFormatting sqref="D189">
    <ns0:cfRule type="expression" priority="27" dxfId="0">
      <ns0:formula>D189&lt;$D$4</ns0:formula>
    </ns0:cfRule>
  </ns0:conditionalFormatting>
  <ns0:conditionalFormatting sqref="D190">
    <ns0:cfRule type="expression" priority="28" dxfId="0">
      <ns0:formula>D190&lt;$D$4</ns0:formula>
    </ns0:cfRule>
  </ns0:conditionalFormatting>
  <ns0:conditionalFormatting sqref="D207">
    <ns0:cfRule type="expression" priority="29" dxfId="0">
      <ns0:formula>D207&lt;$D$4</ns0:formula>
    </ns0:cfRule>
  </ns0:conditionalFormatting>
  <ns0:conditionalFormatting sqref="D208">
    <ns0:cfRule type="expression" priority="30" dxfId="0">
      <ns0:formula>D208&lt;$D$4</ns0:formula>
    </ns0:cfRule>
  </ns0:conditionalFormatting>
  <ns0:conditionalFormatting sqref="D209">
    <ns0:cfRule type="expression" priority="31" dxfId="0">
      <ns0:formula>D209&lt;$D$4</ns0:formula>
    </ns0:cfRule>
  </ns0:conditionalFormatting>
  <ns0:conditionalFormatting sqref="D210">
    <ns0:cfRule type="expression" priority="32" dxfId="0">
      <ns0:formula>D210&lt;$D$4</ns0:formula>
    </ns0:cfRule>
  </ns0:conditionalFormatting>
  <ns0:printOptions horizontalCentered="1"/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F74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3" customWidth="1" min="1" max="1"/>
    <ns0:col width="29" customWidth="1" min="2" max="2"/>
    <ns0:col width="25" customWidth="1" min="3" max="3"/>
    <ns0:col width="23" customWidth="1" min="4" max="4"/>
    <ns0:col width="19" customWidth="1" min="5" max="5"/>
    <ns0:col width="24" customWidth="1" min="6" max="6"/>
  </ns0:cols>
  <ns0:sheetData>
    <ns0:row r="1" ht="26" customHeight="1">
      <ns0:c r="A1" s="22" t="inlineStr">
        <ns0:is>
          <ns0:t>PARÂMETROS DA COMPARAÇÃO</ns0:t>
        </ns0:is>
      </ns0:c>
      <ns0:c r="B1" s="22" t="n"/>
      <ns0:c r="C1" s="22" t="n"/>
      <ns0:c r="D1" s="22" t="n"/>
      <ns0:c r="E1" s="22" t="n"/>
      <ns0:c r="F1" s="22" t="n"/>
    </ns0:row>
    <ns0:row r="3">
      <ns0:c r="A3" s="3" t="inlineStr">
        <ns0:is>
          <ns0:t>Município</ns0:t>
        </ns0:is>
      </ns0:c>
      <ns0:c r="B3" s="50" t="inlineStr">
        <ns0:is>
          <ns0:t>Curitiba</ns0:t>
        </ns0:is>
      </ns0:c>
    </ns0:row>
    <ns0:row r="4" ht="32" customHeight="1">
      <ns0:c r="A4" s="3" t="inlineStr">
        <ns0:is>
          <ns0:t>Profissão/cargo</ns0:t>
        </ns0:is>
      </ns0:c>
      <ns0:c r="B4" s="50" t="inlineStr">
        <ns0:is>
          <ns0:t>Auxiliar Administrativo Operacional</ns0:t>
        </ns0:is>
      </ns0:c>
    </ns0:row>
    <ns0:row r="5">
      <ns0:c r="A5" s="3" t="inlineStr">
        <ns0:is>
          <ns0:t>Ano</ns0:t>
        </ns0:is>
      </ns0:c>
      <ns0:c r="B5" s="51" t="n">
        <ns0:v>2026</ns0:v>
      </ns0:c>
    </ns0:row>
    <ns0:row r="6">
      <ns0:c r="A6" s="3" t="inlineStr">
        <ns0:is>
          <ns0:t>Jornada do cargo (h/semana)</ns0:t>
        </ns0:is>
      </ns0:c>
      <ns0:c r="B6" s="51" t="n">
        <ns0:v>40</ns0:v>
      </ns0:c>
    </ns0:row>
    <ns0:row r="7" ht="32" customHeight="1">
      <ns0:c r="A7" s="3" t="inlineStr">
        <ns0:is>
          <ns0:t>Tipo da referência</ns0:t>
        </ns0:is>
      </ns0:c>
      <ns0:c r="B7" s="50" t="inlineStr">
        <ns0:is>
          <ns0:t>cenario</ns0:t>
        </ns0:is>
      </ns0:c>
    </ns0:row>
    <ns0:row r="8" ht="32" customHeight="1">
      <ns0:c r="A8" s="3" t="inlineStr">
        <ns0:is>
          <ns0:t>Nome da referência</ns0:t>
        </ns0:is>
      </ns0:c>
      <ns0:c r="B8" s="50" t="inlineStr">
        <ns0:is>
          <ns0:t>Cenário didático: base inicial +5%</ns0:t>
        </ns0:is>
      </ns0:c>
    </ns0:row>
    <ns0:row r="9">
      <ns0:c r="A9" s="3" t="inlineStr">
        <ns0:is>
          <ns0:t>Valor da referência</ns0:t>
        </ns0:is>
      </ns0:c>
      <ns0:c r="B9" s="51" t="n">
        <ns0:v>2289.46</ns0:v>
      </ns0:c>
    </ns0:row>
    <ns0:row r="10">
      <ns0:c r="A10" s="3" t="inlineStr">
        <ns0:is>
          <ns0:t>Jornada da referência</ns0:t>
        </ns0:is>
      </ns0:c>
      <ns0:c r="B10" s="51" t="n">
        <ns0:v>40</ns0:v>
      </ns0:c>
    </ns0:row>
    <ns0:row r="11" ht="32" customHeight="1">
      <ns0:c r="A11" s="3" t="inlineStr">
        <ns0:is>
          <ns0:t>Proporcionalidade autorizada</ns0:t>
        </ns0:is>
      </ns0:c>
      <ns0:c r="B11" s="50" t="inlineStr">
        <ns0:is>
          <ns0:t>não</ns0:t>
        </ns0:is>
      </ns0:c>
    </ns0:row>
    <ns0:row r="12" ht="32" customHeight="1">
      <ns0:c r="A12" s="3" t="inlineStr">
        <ns0:is>
          <ns0:t>Tratamento dos centavos</ns0:t>
        </ns0:is>
      </ns0:c>
      <ns0:c r="B12" s="50" t="inlineStr">
        <ns0:is>
          <ns0:t>arredondar</ns0:t>
        </ns0:is>
      </ns0:c>
    </ns0:row>
    <ns0:row r="13">
      <ns0:c r="A13" s="3" t="inlineStr">
        <ns0:is>
          <ns0:t>Referência proporcional</ns0:t>
        </ns0:is>
      </ns0:c>
      <ns0:c r="B13" s="52">
        <ns0:f>IF(B12="truncar",ROUNDDOWN(IF(B11="sim",B9*B6/B10,B9),2),ROUND(IF(B11="sim",B9*B6/B10,B9),2))</ns0:f>
        <ns0:v>2289.46</ns0:v>
      </ns0:c>
    </ns0:row>
    <ns0:row r="14">
      <ns0:c r="A14" s="3" t="inlineStr">
        <ns0:is>
          <ns0:t>Ano da referência</ns0:t>
        </ns0:is>
      </ns0:c>
      <ns0:c r="B14" s="51" t="n">
        <ns0:v>2026</ns0:v>
      </ns0:c>
    </ns0:row>
    <ns0:row r="15">
      <ns0:c r="A15" s="3" t="inlineStr">
        <ns0:is>
          <ns0:t>Tolerância estrutural (R$)</ns0:t>
        </ns0:is>
      </ns0:c>
      <ns0:c r="B15" s="51" t="n">
        <ns0:v>0.01</ns0:v>
      </ns0:c>
    </ns0:row>
    <ns0:row r="16">
      <ns0:c r="A16" s="3" t="inlineStr">
        <ns0:is>
          <ns0:t>Coerência de ano/jornada</ns0:t>
        </ns0:is>
      </ns0:c>
      <ns0:c r="B16" s="14" t="str">
        <ns0:f>IF(AND(B5=B14,OR(B11="sim",B6=B10)),"OK","REVISAR ANO/JORNADA")</ns0:f>
        <ns0:v>OK</ns0:v>
      </ns0:c>
    </ns0:row>
    <ns0:row r="18">
      <ns0:c r="A18" s="3" t="inlineStr">
        <ns0:is>
          <ns0:t>Nível</ns0:t>
        </ns0:is>
      </ns0:c>
      <ns0:c r="B18" s="3" t="inlineStr">
        <ns0:is>
          <ns0:t>Descrição</ns0:t>
        </ns0:is>
      </ns0:c>
      <ns0:c r="C18" s="3" t="inlineStr">
        <ns0:is>
          <ns0:t>Regra vertical</ns0:t>
        </ns0:is>
      </ns0:c>
      <ns0:c r="D18" s="3" t="inlineStr">
        <ns0:is>
          <ns0:t>Valor (% ou R$)</ns0:t>
        </ns0:is>
      </ns0:c>
      <ns0:c r="E18" s="3" t="inlineStr">
        <ns0:is>
          <ns0:t>Sobre o nível</ns0:t>
        </ns0:is>
      </ns0:c>
    </ns0:row>
    <ns0:row r="19">
      <ns0:c r="A19" s="3" t="inlineStr">
        <ns0:is>
          <ns0:t>I</ns0:t>
        </ns0:is>
      </ns0:c>
      <ns0:c r="B19" s="3" t="inlineStr">
        <ns0:is>
          <ns0:t>Parte permanente — Nível I</ns0:t>
        </ns0:is>
      </ns0:c>
      <ns0:c r="C19" s="3" t="inlineStr">
        <ns0:is>
          <ns0:t>base</ns0:t>
        </ns0:is>
      </ns0:c>
      <ns0:c r="D19" s="14" t="n">
        <ns0:v>0</ns0:v>
      </ns0:c>
      <ns0:c r="E19" s="3" t="inlineStr"/>
    </ns0:row>
    <ns0:row r="20">
      <ns0:c r="A20" s="3" t="inlineStr">
        <ns0:is>
          <ns0:t>II</ns0:t>
        </ns0:is>
      </ns0:c>
      <ns0:c r="B20" s="3" t="inlineStr">
        <ns0:is>
          <ns0:t>Parte permanente — Nível II</ns0:t>
        </ns0:is>
      </ns0:c>
      <ns0:c r="C20" s="3" t="inlineStr">
        <ns0:is>
          <ns0:t>percentual</ns0:t>
        </ns0:is>
      </ns0:c>
      <ns0:c r="D20" s="14" t="n">
        <ns0:v>15</ns0:v>
      </ns0:c>
      <ns0:c r="E20" s="3" t="inlineStr">
        <ns0:is>
          <ns0:t>I</ns0:t>
        </ns0:is>
      </ns0:c>
    </ns0:row>
    <ns0:row r="21">
      <ns0:c r="A21" s="3" t="inlineStr">
        <ns0:is>
          <ns0:t>III</ns0:t>
        </ns0:is>
      </ns0:c>
      <ns0:c r="B21" s="3" t="inlineStr">
        <ns0:is>
          <ns0:t>Parte permanente — Nível III</ns0:t>
        </ns0:is>
      </ns0:c>
      <ns0:c r="C21" s="3" t="inlineStr">
        <ns0:is>
          <ns0:t>percentual</ns0:t>
        </ns0:is>
      </ns0:c>
      <ns0:c r="D21" s="14" t="n">
        <ns0:v>15</ns0:v>
      </ns0:c>
      <ns0:c r="E21" s="3" t="inlineStr">
        <ns0:is>
          <ns0:t>II</ns0:t>
        </ns0:is>
      </ns0:c>
    </ns0:row>
    <ns0:row r="22">
      <ns0:c r="A22" s="3" t="inlineStr">
        <ns0:is>
          <ns0:t>IV</ns0:t>
        </ns0:is>
      </ns0:c>
      <ns0:c r="B22" s="3" t="inlineStr">
        <ns0:is>
          <ns0:t>Parte permanente — Nível IV</ns0:t>
        </ns0:is>
      </ns0:c>
      <ns0:c r="C22" s="3" t="inlineStr">
        <ns0:is>
          <ns0:t>percentual</ns0:t>
        </ns0:is>
      </ns0:c>
      <ns0:c r="D22" s="14" t="n">
        <ns0:v>15</ns0:v>
      </ns0:c>
      <ns0:c r="E22" s="3" t="inlineStr">
        <ns0:is>
          <ns0:t>III</ns0:t>
        </ns0:is>
      </ns0:c>
    </ns0:row>
    <ns0:row r="26">
      <ns0:c r="A26" s="3" t="inlineStr">
        <ns0:is>
          <ns0:t>Classe de origem</ns0:t>
        </ns0:is>
      </ns0:c>
      <ns0:c r="B26" s="3" t="inlineStr">
        <ns0:is>
          <ns0:t>Classe de destino</ns0:t>
        </ns0:is>
      </ns0:c>
      <ns0:c r="C26" s="3" t="inlineStr">
        <ns0:is>
          <ns0:t>Progressão (%)</ns0:t>
        </ns0:is>
      </ns0:c>
    </ns0:row>
    <ns0:row r="27">
      <ns0:c r="A27" s="3" t="inlineStr">
        <ns0:is>
          <ns0:t>I</ns0:t>
        </ns0:is>
      </ns0:c>
      <ns0:c r="B27" s="3" t="inlineStr">
        <ns0:is>
          <ns0:t>II</ns0:t>
        </ns0:is>
      </ns0:c>
      <ns0:c r="C27" s="14" t="n">
        <ns0:v>2.8</ns0:v>
      </ns0:c>
    </ns0:row>
    <ns0:row r="28">
      <ns0:c r="A28" s="3" t="inlineStr">
        <ns0:is>
          <ns0:t>II</ns0:t>
        </ns0:is>
      </ns0:c>
      <ns0:c r="B28" s="3" t="inlineStr">
        <ns0:is>
          <ns0:t>III</ns0:t>
        </ns0:is>
      </ns0:c>
      <ns0:c r="C28" s="14" t="n">
        <ns0:v>2.8</ns0:v>
      </ns0:c>
    </ns0:row>
    <ns0:row r="29">
      <ns0:c r="A29" s="3" t="inlineStr">
        <ns0:is>
          <ns0:t>III</ns0:t>
        </ns0:is>
      </ns0:c>
      <ns0:c r="B29" s="3" t="inlineStr">
        <ns0:is>
          <ns0:t>IV</ns0:t>
        </ns0:is>
      </ns0:c>
      <ns0:c r="C29" s="14" t="n">
        <ns0:v>2.8</ns0:v>
      </ns0:c>
    </ns0:row>
    <ns0:row r="30">
      <ns0:c r="A30" s="3" t="inlineStr">
        <ns0:is>
          <ns0:t>IV</ns0:t>
        </ns0:is>
      </ns0:c>
      <ns0:c r="B30" s="3" t="inlineStr">
        <ns0:is>
          <ns0:t>V</ns0:t>
        </ns0:is>
      </ns0:c>
      <ns0:c r="C30" s="14" t="n">
        <ns0:v>2.8</ns0:v>
      </ns0:c>
    </ns0:row>
    <ns0:row r="31">
      <ns0:c r="A31" s="3" t="inlineStr">
        <ns0:is>
          <ns0:t>V</ns0:t>
        </ns0:is>
      </ns0:c>
      <ns0:c r="B31" s="3" t="inlineStr">
        <ns0:is>
          <ns0:t>VI</ns0:t>
        </ns0:is>
      </ns0:c>
      <ns0:c r="C31" s="14" t="n">
        <ns0:v>2.8</ns0:v>
      </ns0:c>
    </ns0:row>
    <ns0:row r="32">
      <ns0:c r="A32" s="3" t="inlineStr">
        <ns0:is>
          <ns0:t>VI</ns0:t>
        </ns0:is>
      </ns0:c>
      <ns0:c r="B32" s="3" t="inlineStr">
        <ns0:is>
          <ns0:t>VII</ns0:t>
        </ns0:is>
      </ns0:c>
      <ns0:c r="C32" s="14" t="n">
        <ns0:v>2.8</ns0:v>
      </ns0:c>
    </ns0:row>
    <ns0:row r="33">
      <ns0:c r="A33" s="3" t="inlineStr">
        <ns0:is>
          <ns0:t>VII</ns0:t>
        </ns0:is>
      </ns0:c>
      <ns0:c r="B33" s="3" t="inlineStr">
        <ns0:is>
          <ns0:t>VIII</ns0:t>
        </ns0:is>
      </ns0:c>
      <ns0:c r="C33" s="14" t="n">
        <ns0:v>2.8</ns0:v>
      </ns0:c>
    </ns0:row>
    <ns0:row r="34">
      <ns0:c r="A34" s="3" t="inlineStr">
        <ns0:is>
          <ns0:t>VIII</ns0:t>
        </ns0:is>
      </ns0:c>
      <ns0:c r="B34" s="3" t="inlineStr">
        <ns0:is>
          <ns0:t>IX</ns0:t>
        </ns0:is>
      </ns0:c>
      <ns0:c r="C34" s="14" t="n">
        <ns0:v>2.8</ns0:v>
      </ns0:c>
    </ns0:row>
    <ns0:row r="35">
      <ns0:c r="A35" s="3" t="inlineStr">
        <ns0:is>
          <ns0:t>IX</ns0:t>
        </ns0:is>
      </ns0:c>
      <ns0:c r="B35" s="3" t="inlineStr">
        <ns0:is>
          <ns0:t>X</ns0:t>
        </ns0:is>
      </ns0:c>
      <ns0:c r="C35" s="14" t="n">
        <ns0:v>2.8</ns0:v>
      </ns0:c>
    </ns0:row>
    <ns0:row r="36">
      <ns0:c r="A36" s="3" t="inlineStr">
        <ns0:is>
          <ns0:t>X</ns0:t>
        </ns0:is>
      </ns0:c>
      <ns0:c r="B36" s="3" t="inlineStr">
        <ns0:is>
          <ns0:t>XI</ns0:t>
        </ns0:is>
      </ns0:c>
      <ns0:c r="C36" s="14" t="n">
        <ns0:v>2.8</ns0:v>
      </ns0:c>
    </ns0:row>
    <ns0:row r="37">
      <ns0:c r="A37" s="3" t="inlineStr">
        <ns0:is>
          <ns0:t>XI</ns0:t>
        </ns0:is>
      </ns0:c>
      <ns0:c r="B37" s="3" t="inlineStr">
        <ns0:is>
          <ns0:t>XII</ns0:t>
        </ns0:is>
      </ns0:c>
      <ns0:c r="C37" s="14" t="n">
        <ns0:v>2.8</ns0:v>
      </ns0:c>
    </ns0:row>
    <ns0:row r="38">
      <ns0:c r="A38" s="3" t="inlineStr">
        <ns0:is>
          <ns0:t>XII</ns0:t>
        </ns0:is>
      </ns0:c>
      <ns0:c r="B38" s="3" t="inlineStr">
        <ns0:is>
          <ns0:t>XIII</ns0:t>
        </ns0:is>
      </ns0:c>
      <ns0:c r="C38" s="14" t="n">
        <ns0:v>2.8</ns0:v>
      </ns0:c>
    </ns0:row>
    <ns0:row r="39">
      <ns0:c r="A39" s="3" t="inlineStr">
        <ns0:is>
          <ns0:t>XIII</ns0:t>
        </ns0:is>
      </ns0:c>
      <ns0:c r="B39" s="3" t="inlineStr">
        <ns0:is>
          <ns0:t>XIV</ns0:t>
        </ns0:is>
      </ns0:c>
      <ns0:c r="C39" s="14" t="n">
        <ns0:v>2.8</ns0:v>
      </ns0:c>
    </ns0:row>
    <ns0:row r="40">
      <ns0:c r="A40" s="3" t="inlineStr">
        <ns0:is>
          <ns0:t>XIV</ns0:t>
        </ns0:is>
      </ns0:c>
      <ns0:c r="B40" s="3" t="inlineStr">
        <ns0:is>
          <ns0:t>XV</ns0:t>
        </ns0:is>
      </ns0:c>
      <ns0:c r="C40" s="14" t="n">
        <ns0:v>2.8</ns0:v>
      </ns0:c>
    </ns0:row>
    <ns0:row r="41">
      <ns0:c r="A41" s="3" t="inlineStr">
        <ns0:is>
          <ns0:t>XV</ns0:t>
        </ns0:is>
      </ns0:c>
      <ns0:c r="B41" s="3" t="inlineStr">
        <ns0:is>
          <ns0:t>XVI</ns0:t>
        </ns0:is>
      </ns0:c>
      <ns0:c r="C41" s="14" t="n">
        <ns0:v>2.8</ns0:v>
      </ns0:c>
    </ns0:row>
    <ns0:row r="42">
      <ns0:c r="A42" s="3" t="inlineStr">
        <ns0:is>
          <ns0:t>XVI</ns0:t>
        </ns0:is>
      </ns0:c>
      <ns0:c r="B42" s="3" t="inlineStr">
        <ns0:is>
          <ns0:t>XVII</ns0:t>
        </ns0:is>
      </ns0:c>
      <ns0:c r="C42" s="14" t="n">
        <ns0:v>2.8</ns0:v>
      </ns0:c>
    </ns0:row>
    <ns0:row r="43">
      <ns0:c r="A43" s="3" t="inlineStr">
        <ns0:is>
          <ns0:t>XVII</ns0:t>
        </ns0:is>
      </ns0:c>
      <ns0:c r="B43" s="3" t="inlineStr">
        <ns0:is>
          <ns0:t>XVIII</ns0:t>
        </ns0:is>
      </ns0:c>
      <ns0:c r="C43" s="14" t="n">
        <ns0:v>2.8</ns0:v>
      </ns0:c>
    </ns0:row>
    <ns0:row r="44">
      <ns0:c r="A44" s="3" t="inlineStr">
        <ns0:is>
          <ns0:t>XVIII</ns0:t>
        </ns0:is>
      </ns0:c>
      <ns0:c r="B44" s="3" t="inlineStr">
        <ns0:is>
          <ns0:t>XIX</ns0:t>
        </ns0:is>
      </ns0:c>
      <ns0:c r="C44" s="14" t="n">
        <ns0:v>2.8</ns0:v>
      </ns0:c>
    </ns0:row>
    <ns0:row r="45">
      <ns0:c r="A45" s="3" t="inlineStr">
        <ns0:is>
          <ns0:t>XIX</ns0:t>
        </ns0:is>
      </ns0:c>
      <ns0:c r="B45" s="3" t="inlineStr">
        <ns0:is>
          <ns0:t>XX</ns0:t>
        </ns0:is>
      </ns0:c>
      <ns0:c r="C45" s="14" t="n">
        <ns0:v>2.8</ns0:v>
      </ns0:c>
    </ns0:row>
    <ns0:row r="46">
      <ns0:c r="A46" s="3" t="inlineStr">
        <ns0:is>
          <ns0:t>XX</ns0:t>
        </ns0:is>
      </ns0:c>
      <ns0:c r="B46" s="3" t="inlineStr">
        <ns0:is>
          <ns0:t>XXI</ns0:t>
        </ns0:is>
      </ns0:c>
      <ns0:c r="C46" s="14" t="n">
        <ns0:v>2.8</ns0:v>
      </ns0:c>
    </ns0:row>
    <ns0:row r="47">
      <ns0:c r="A47" s="3" t="inlineStr">
        <ns0:is>
          <ns0:t>XXI</ns0:t>
        </ns0:is>
      </ns0:c>
      <ns0:c r="B47" s="3" t="inlineStr">
        <ns0:is>
          <ns0:t>XXII</ns0:t>
        </ns0:is>
      </ns0:c>
      <ns0:c r="C47" s="14" t="n">
        <ns0:v>2.8</ns0:v>
      </ns0:c>
    </ns0:row>
    <ns0:row r="48">
      <ns0:c r="A48" s="3" t="inlineStr">
        <ns0:is>
          <ns0:t>XXII</ns0:t>
        </ns0:is>
      </ns0:c>
      <ns0:c r="B48" s="3" t="inlineStr">
        <ns0:is>
          <ns0:t>XXIII</ns0:t>
        </ns0:is>
      </ns0:c>
      <ns0:c r="C48" s="14" t="n">
        <ns0:v>2.8</ns0:v>
      </ns0:c>
    </ns0:row>
    <ns0:row r="49">
      <ns0:c r="A49" s="3" t="inlineStr">
        <ns0:is>
          <ns0:t>XXIII</ns0:t>
        </ns0:is>
      </ns0:c>
      <ns0:c r="B49" s="3" t="inlineStr">
        <ns0:is>
          <ns0:t>XXIV</ns0:t>
        </ns0:is>
      </ns0:c>
      <ns0:c r="C49" s="14" t="n">
        <ns0:v>2.8</ns0:v>
      </ns0:c>
    </ns0:row>
    <ns0:row r="50">
      <ns0:c r="A50" s="3" t="inlineStr">
        <ns0:is>
          <ns0:t>XXIV</ns0:t>
        </ns0:is>
      </ns0:c>
      <ns0:c r="B50" s="3" t="inlineStr">
        <ns0:is>
          <ns0:t>XXV</ns0:t>
        </ns0:is>
      </ns0:c>
      <ns0:c r="C50" s="14" t="n">
        <ns0:v>2.8</ns0:v>
      </ns0:c>
    </ns0:row>
    <ns0:row r="51">
      <ns0:c r="A51" s="3" t="inlineStr">
        <ns0:is>
          <ns0:t>XXV</ns0:t>
        </ns0:is>
      </ns0:c>
      <ns0:c r="B51" s="3" t="inlineStr">
        <ns0:is>
          <ns0:t>XXVI</ns0:t>
        </ns0:is>
      </ns0:c>
      <ns0:c r="C51" s="14" t="n">
        <ns0:v>2.8</ns0:v>
      </ns0:c>
    </ns0:row>
    <ns0:row r="52">
      <ns0:c r="A52" s="3" t="inlineStr">
        <ns0:is>
          <ns0:t>XXVI</ns0:t>
        </ns0:is>
      </ns0:c>
      <ns0:c r="B52" s="3" t="inlineStr">
        <ns0:is>
          <ns0:t>XXVII</ns0:t>
        </ns0:is>
      </ns0:c>
      <ns0:c r="C52" s="14" t="n">
        <ns0:v>2.8</ns0:v>
      </ns0:c>
    </ns0:row>
    <ns0:row r="53">
      <ns0:c r="A53" s="3" t="inlineStr">
        <ns0:is>
          <ns0:t>XXVII</ns0:t>
        </ns0:is>
      </ns0:c>
      <ns0:c r="B53" s="3" t="inlineStr">
        <ns0:is>
          <ns0:t>XXVIII</ns0:t>
        </ns0:is>
      </ns0:c>
      <ns0:c r="C53" s="14" t="n">
        <ns0:v>2.8</ns0:v>
      </ns0:c>
    </ns0:row>
    <ns0:row r="54">
      <ns0:c r="A54" s="3" t="inlineStr">
        <ns0:is>
          <ns0:t>XXVIII</ns0:t>
        </ns0:is>
      </ns0:c>
      <ns0:c r="B54" s="3" t="inlineStr">
        <ns0:is>
          <ns0:t>XXIX</ns0:t>
        </ns0:is>
      </ns0:c>
      <ns0:c r="C54" s="14" t="n">
        <ns0:v>2.8</ns0:v>
      </ns0:c>
    </ns0:row>
    <ns0:row r="55">
      <ns0:c r="A55" s="3" t="inlineStr">
        <ns0:is>
          <ns0:t>XXIX</ns0:t>
        </ns0:is>
      </ns0:c>
      <ns0:c r="B55" s="3" t="inlineStr">
        <ns0:is>
          <ns0:t>XXX</ns0:t>
        </ns0:is>
      </ns0:c>
      <ns0:c r="C55" s="14" t="n">
        <ns0:v>2.8</ns0:v>
      </ns0:c>
    </ns0:row>
    <ns0:row r="56">
      <ns0:c r="A56" s="3" t="inlineStr">
        <ns0:is>
          <ns0:t>XXX</ns0:t>
        </ns0:is>
      </ns0:c>
      <ns0:c r="B56" s="3" t="inlineStr">
        <ns0:is>
          <ns0:t>XXXI</ns0:t>
        </ns0:is>
      </ns0:c>
      <ns0:c r="C56" s="14" t="n">
        <ns0:v>2.8</ns0:v>
      </ns0:c>
    </ns0:row>
    <ns0:row r="57">
      <ns0:c r="A57" s="3" t="inlineStr">
        <ns0:is>
          <ns0:t>XXXI</ns0:t>
        </ns0:is>
      </ns0:c>
      <ns0:c r="B57" s="3" t="inlineStr">
        <ns0:is>
          <ns0:t>XXXII</ns0:t>
        </ns0:is>
      </ns0:c>
      <ns0:c r="C57" s="14" t="n">
        <ns0:v>2.8</ns0:v>
      </ns0:c>
    </ns0:row>
    <ns0:row r="58">
      <ns0:c r="A58" s="3" t="inlineStr">
        <ns0:is>
          <ns0:t>XXXII</ns0:t>
        </ns0:is>
      </ns0:c>
      <ns0:c r="B58" s="3" t="inlineStr">
        <ns0:is>
          <ns0:t>XXXIII</ns0:t>
        </ns0:is>
      </ns0:c>
      <ns0:c r="C58" s="14" t="n">
        <ns0:v>2.8</ns0:v>
      </ns0:c>
    </ns0:row>
    <ns0:row r="59">
      <ns0:c r="A59" s="3" t="inlineStr">
        <ns0:is>
          <ns0:t>XXXIII</ns0:t>
        </ns0:is>
      </ns0:c>
      <ns0:c r="B59" s="3" t="inlineStr">
        <ns0:is>
          <ns0:t>XXXIV</ns0:t>
        </ns0:is>
      </ns0:c>
      <ns0:c r="C59" s="14" t="n">
        <ns0:v>2.8</ns0:v>
      </ns0:c>
    </ns0:row>
    <ns0:row r="60">
      <ns0:c r="A60" s="3" t="inlineStr">
        <ns0:is>
          <ns0:t>XXXIV</ns0:t>
        </ns0:is>
      </ns0:c>
      <ns0:c r="B60" s="3" t="inlineStr">
        <ns0:is>
          <ns0:t>XXXV</ns0:t>
        </ns0:is>
      </ns0:c>
      <ns0:c r="C60" s="14" t="n">
        <ns0:v>2.8</ns0:v>
      </ns0:c>
    </ns0:row>
    <ns0:row r="61">
      <ns0:c r="A61" s="3" t="inlineStr">
        <ns0:is>
          <ns0:t>XXXV</ns0:t>
        </ns0:is>
      </ns0:c>
      <ns0:c r="B61" s="3" t="inlineStr">
        <ns0:is>
          <ns0:t>XXXVI</ns0:t>
        </ns0:is>
      </ns0:c>
      <ns0:c r="C61" s="14" t="n">
        <ns0:v>2.8</ns0:v>
      </ns0:c>
    </ns0:row>
    <ns0:row r="62">
      <ns0:c r="A62" s="3" t="inlineStr">
        <ns0:is>
          <ns0:t>XXXVI</ns0:t>
        </ns0:is>
      </ns0:c>
      <ns0:c r="B62" s="3" t="inlineStr">
        <ns0:is>
          <ns0:t>XXXVII</ns0:t>
        </ns0:is>
      </ns0:c>
      <ns0:c r="C62" s="14" t="n">
        <ns0:v>2.8</ns0:v>
      </ns0:c>
    </ns0:row>
    <ns0:row r="63">
      <ns0:c r="A63" s="3" t="inlineStr">
        <ns0:is>
          <ns0:t>XXXVII</ns0:t>
        </ns0:is>
      </ns0:c>
      <ns0:c r="B63" s="3" t="inlineStr">
        <ns0:is>
          <ns0:t>XXXVIII</ns0:t>
        </ns0:is>
      </ns0:c>
      <ns0:c r="C63" s="14" t="n">
        <ns0:v>2.8</ns0:v>
      </ns0:c>
    </ns0:row>
    <ns0:row r="64">
      <ns0:c r="A64" s="3" t="inlineStr">
        <ns0:is>
          <ns0:t>XXXVIII</ns0:t>
        </ns0:is>
      </ns0:c>
      <ns0:c r="B64" s="3" t="inlineStr">
        <ns0:is>
          <ns0:t>XXXIX</ns0:t>
        </ns0:is>
      </ns0:c>
      <ns0:c r="C64" s="14" t="n">
        <ns0:v>2.8</ns0:v>
      </ns0:c>
    </ns0:row>
    <ns0:row r="65">
      <ns0:c r="A65" s="3" t="inlineStr">
        <ns0:is>
          <ns0:t>XXXIX</ns0:t>
        </ns0:is>
      </ns0:c>
      <ns0:c r="B65" s="3" t="inlineStr">
        <ns0:is>
          <ns0:t>XL</ns0:t>
        </ns0:is>
      </ns0:c>
      <ns0:c r="C65" s="14" t="n">
        <ns0:v>2.8</ns0:v>
      </ns0:c>
    </ns0:row>
    <ns0:row r="66">
      <ns0:c r="A66" s="3" t="inlineStr">
        <ns0:is>
          <ns0:t>XL</ns0:t>
        </ns0:is>
      </ns0:c>
      <ns0:c r="B66" s="3" t="inlineStr">
        <ns0:is>
          <ns0:t>XLI</ns0:t>
        </ns0:is>
      </ns0:c>
      <ns0:c r="C66" s="14" t="n">
        <ns0:v>2.8</ns0:v>
      </ns0:c>
    </ns0:row>
    <ns0:row r="67">
      <ns0:c r="A67" s="3" t="inlineStr">
        <ns0:is>
          <ns0:t>XLI</ns0:t>
        </ns0:is>
      </ns0:c>
      <ns0:c r="B67" s="3" t="inlineStr">
        <ns0:is>
          <ns0:t>XLII</ns0:t>
        </ns0:is>
      </ns0:c>
      <ns0:c r="C67" s="14" t="n">
        <ns0:v>2.8</ns0:v>
      </ns0:c>
    </ns0:row>
    <ns0:row r="68">
      <ns0:c r="A68" s="3" t="inlineStr">
        <ns0:is>
          <ns0:t>XLII</ns0:t>
        </ns0:is>
      </ns0:c>
      <ns0:c r="B68" s="3" t="inlineStr">
        <ns0:is>
          <ns0:t>XLIII</ns0:t>
        </ns0:is>
      </ns0:c>
      <ns0:c r="C68" s="14" t="n">
        <ns0:v>2.8</ns0:v>
      </ns0:c>
    </ns0:row>
    <ns0:row r="69">
      <ns0:c r="A69" s="3" t="inlineStr">
        <ns0:is>
          <ns0:t>XLIII</ns0:t>
        </ns0:is>
      </ns0:c>
      <ns0:c r="B69" s="3" t="inlineStr">
        <ns0:is>
          <ns0:t>XLIV</ns0:t>
        </ns0:is>
      </ns0:c>
      <ns0:c r="C69" s="14" t="n">
        <ns0:v>2.8</ns0:v>
      </ns0:c>
    </ns0:row>
    <ns0:row r="70">
      <ns0:c r="A70" s="3" t="inlineStr">
        <ns0:is>
          <ns0:t>XLIV</ns0:t>
        </ns0:is>
      </ns0:c>
      <ns0:c r="B70" s="3" t="inlineStr">
        <ns0:is>
          <ns0:t>XLV</ns0:t>
        </ns0:is>
      </ns0:c>
      <ns0:c r="C70" s="14" t="n">
        <ns0:v>2.8</ns0:v>
      </ns0:c>
    </ns0:row>
    <ns0:row r="71">
      <ns0:c r="A71" s="3" t="inlineStr">
        <ns0:is>
          <ns0:t>XLV</ns0:t>
        </ns0:is>
      </ns0:c>
      <ns0:c r="B71" s="3" t="inlineStr">
        <ns0:is>
          <ns0:t>XLVI</ns0:t>
        </ns0:is>
      </ns0:c>
      <ns0:c r="C71" s="14" t="n">
        <ns0:v>2.8</ns0:v>
      </ns0:c>
    </ns0:row>
    <ns0:row r="74" ht="45" customHeight="1">
      <ns0:c r="A74" s="2" t="inlineStr">
        <ns0:is>
          <ns0:t>Cenário/consultoria é uma referência analítica. PSPN é exclusivo do magistério. Alterar profissão, ano ou jornada exige revisar a referência e sua fonte.</ns0:t>
        </ns0:is>
      </ns0:c>
      <ns0:c r="B74" s="2" t="n"/>
      <ns0:c r="C74" s="2" t="n"/>
      <ns0:c r="D74" s="2" t="n"/>
      <ns0:c r="E74" s="2" t="n"/>
      <ns0:c r="F74" s="2" t="n"/>
    </ns0:row>
  </ns0:sheetData>
  <ns0:mergeCells count="2">
    <ns0:mergeCell ref="A74:F74"/>
    <ns0:mergeCell ref="A1:F1"/>
  </ns0:mergeCells>
  <ns0:dataValidations count="1">
    <ns0:dataValidation sqref="B12" showDropDown="0" showInputMessage="0" showErrorMessage="0" allowBlank="0" type="list">
      <ns0:formula1>"arredondar,truncar"</ns0:formula1>
    </ns0:dataValidation>
  </ns0:dataValidations>
  <ns0:printOptions horizontalCentered="1"/>
  <ns0:pageMargins left="0.75" right="0.75" top="1" bottom="1" header="0.5" footer="0.5"/>
  <ns0:pageSetup orientation="landscape" paperSize="9" fitToHeight="0" fitToWidth="1"/>
  <ns0:legacyDrawing ns1:id="anysvml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AW7"/>
  <ns0:sheetViews>
    <ns0:sheetView showGridLines="0" workbookViewId="0">
      <ns0:pane xSplit="3" ySplit="3" topLeftCell="D4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35" customWidth="1" min="2" max="2"/>
    <ns0:col width="28" customWidth="1" min="3" max="3"/>
    <ns0:col width="16" customWidth="1" min="4" max="4"/>
    <ns0:col width="16" customWidth="1" min="5" max="5"/>
    <ns0:col width="16" customWidth="1" min="6" max="6"/>
    <ns0:col width="16" customWidth="1" min="7" max="7"/>
    <ns0:col width="16" customWidth="1" min="8" max="8"/>
    <ns0:col width="16" customWidth="1" min="9" max="9"/>
    <ns0:col width="16" customWidth="1" min="10" max="10"/>
    <ns0:col width="16" customWidth="1" min="11" max="11"/>
    <ns0:col width="16" customWidth="1" min="12" max="12"/>
    <ns0:col width="16" customWidth="1" min="13" max="13"/>
    <ns0:col width="16" customWidth="1" min="14" max="14"/>
    <ns0:col width="16" customWidth="1" min="15" max="15"/>
    <ns0:col width="16" customWidth="1" min="16" max="16"/>
    <ns0:col width="16" customWidth="1" min="17" max="17"/>
    <ns0:col width="16" customWidth="1" min="18" max="18"/>
    <ns0:col width="16" customWidth="1" min="19" max="19"/>
    <ns0:col width="16" customWidth="1" min="20" max="20"/>
    <ns0:col width="16" customWidth="1" min="21" max="21"/>
    <ns0:col width="16" customWidth="1" min="22" max="22"/>
    <ns0:col width="16" customWidth="1" min="23" max="23"/>
    <ns0:col width="16" customWidth="1" min="24" max="24"/>
    <ns0:col width="16" customWidth="1" min="25" max="25"/>
    <ns0:col width="16" customWidth="1" min="26" max="26"/>
    <ns0:col width="16" customWidth="1" min="27" max="27"/>
    <ns0:col width="16" customWidth="1" min="28" max="28"/>
    <ns0:col width="16" customWidth="1" min="29" max="29"/>
    <ns0:col width="16" customWidth="1" min="30" max="30"/>
    <ns0:col width="16" customWidth="1" min="31" max="31"/>
    <ns0:col width="16" customWidth="1" min="32" max="32"/>
    <ns0:col width="16" customWidth="1" min="33" max="33"/>
    <ns0:col width="16" customWidth="1" min="34" max="34"/>
    <ns0:col width="16" customWidth="1" min="35" max="35"/>
    <ns0:col width="16" customWidth="1" min="36" max="36"/>
    <ns0:col width="16" customWidth="1" min="37" max="37"/>
    <ns0:col width="16" customWidth="1" min="38" max="38"/>
    <ns0:col width="16" customWidth="1" min="39" max="39"/>
    <ns0:col width="16" customWidth="1" min="40" max="40"/>
    <ns0:col width="16" customWidth="1" min="41" max="41"/>
    <ns0:col width="16" customWidth="1" min="42" max="42"/>
    <ns0:col width="16" customWidth="1" min="43" max="43"/>
    <ns0:col width="16" customWidth="1" min="44" max="44"/>
    <ns0:col width="16" customWidth="1" min="45" max="45"/>
    <ns0:col width="16" customWidth="1" min="46" max="46"/>
    <ns0:col width="16" customWidth="1" min="47" max="47"/>
    <ns0:col width="16" customWidth="1" min="48" max="48"/>
    <ns0:col width="16" customWidth="1" min="49" max="49"/>
  </ns0:cols>
  <ns0:sheetData>
    <ns0:row r="1" ht="26" customHeight="1">
      <ns0:c r="A1" s="5" t="inlineStr">
        <ns0:is>
          <ns0:t>TABELA MUNICIPAL TRANSCRITA — VALORES DE ENTRADA</ns0:t>
        </ns0:is>
      </ns0:c>
      <ns0:c r="B1" s="5" t="n"/>
      <ns0:c r="C1" s="5" t="n"/>
      <ns0:c r="D1" s="5" t="n"/>
      <ns0:c r="E1" s="5" t="n"/>
      <ns0:c r="F1" s="5" t="n"/>
      <ns0:c r="G1" s="5" t="n"/>
      <ns0:c r="H1" s="5" t="n"/>
      <ns0:c r="I1" s="5" t="n"/>
      <ns0:c r="J1" s="5" t="n"/>
      <ns0:c r="K1" s="5" t="n"/>
      <ns0:c r="L1" s="5" t="n"/>
      <ns0:c r="M1" s="5" t="n"/>
      <ns0:c r="N1" s="5" t="n"/>
      <ns0:c r="O1" s="5" t="n"/>
      <ns0:c r="P1" s="5" t="n"/>
      <ns0:c r="Q1" s="5" t="n"/>
      <ns0:c r="R1" s="5" t="n"/>
    </ns0:row>
    <ns0:row r="3">
      <ns0:c r="A3" s="3" t="inlineStr">
        <ns0:is>
          <ns0:t>Nível</ns0:t>
        </ns0:is>
      </ns0:c>
      <ns0:c r="B3" s="3" t="inlineStr">
        <ns0:is>
          <ns0:t>Descrição</ns0:t>
        </ns0:is>
      </ns0:c>
      <ns0:c r="C3" s="3" t="inlineStr">
        <ns0:is>
          <ns0:t>Regra vertical</ns0:t>
        </ns0:is>
      </ns0:c>
      <ns0:c r="D3" s="3" t="inlineStr">
        <ns0:is>
          <ns0:t>I</ns0:t>
        </ns0:is>
      </ns0:c>
      <ns0:c r="E3" s="3" t="inlineStr">
        <ns0:is>
          <ns0:t>II</ns0:t>
        </ns0:is>
      </ns0:c>
      <ns0:c r="F3" s="3" t="inlineStr">
        <ns0:is>
          <ns0:t>III</ns0:t>
        </ns0:is>
      </ns0:c>
      <ns0:c r="G3" s="3" t="inlineStr">
        <ns0:is>
          <ns0:t>IV</ns0:t>
        </ns0:is>
      </ns0:c>
      <ns0:c r="H3" s="3" t="inlineStr">
        <ns0:is>
          <ns0:t>V</ns0:t>
        </ns0:is>
      </ns0:c>
      <ns0:c r="I3" s="3" t="inlineStr">
        <ns0:is>
          <ns0:t>VI</ns0:t>
        </ns0:is>
      </ns0:c>
      <ns0:c r="J3" s="3" t="inlineStr">
        <ns0:is>
          <ns0:t>VII</ns0:t>
        </ns0:is>
      </ns0:c>
      <ns0:c r="K3" s="3" t="inlineStr">
        <ns0:is>
          <ns0:t>VIII</ns0:t>
        </ns0:is>
      </ns0:c>
      <ns0:c r="L3" s="3" t="inlineStr">
        <ns0:is>
          <ns0:t>IX</ns0:t>
        </ns0:is>
      </ns0:c>
      <ns0:c r="M3" s="3" t="inlineStr">
        <ns0:is>
          <ns0:t>X</ns0:t>
        </ns0:is>
      </ns0:c>
      <ns0:c r="N3" s="3" t="inlineStr">
        <ns0:is>
          <ns0:t>XI</ns0:t>
        </ns0:is>
      </ns0:c>
      <ns0:c r="O3" s="3" t="inlineStr">
        <ns0:is>
          <ns0:t>XII</ns0:t>
        </ns0:is>
      </ns0:c>
      <ns0:c r="P3" s="3" t="inlineStr">
        <ns0:is>
          <ns0:t>XIII</ns0:t>
        </ns0:is>
      </ns0:c>
      <ns0:c r="Q3" s="3" t="inlineStr">
        <ns0:is>
          <ns0:t>XIV</ns0:t>
        </ns0:is>
      </ns0:c>
      <ns0:c r="R3" s="3" t="inlineStr">
        <ns0:is>
          <ns0:t>XV</ns0:t>
        </ns0:is>
      </ns0:c>
      <ns0:c r="S3" s="3" t="inlineStr">
        <ns0:is>
          <ns0:t>XVI</ns0:t>
        </ns0:is>
      </ns0:c>
      <ns0:c r="T3" s="3" t="inlineStr">
        <ns0:is>
          <ns0:t>XVII</ns0:t>
        </ns0:is>
      </ns0:c>
      <ns0:c r="U3" s="3" t="inlineStr">
        <ns0:is>
          <ns0:t>XVIII</ns0:t>
        </ns0:is>
      </ns0:c>
      <ns0:c r="V3" s="3" t="inlineStr">
        <ns0:is>
          <ns0:t>XIX</ns0:t>
        </ns0:is>
      </ns0:c>
      <ns0:c r="W3" s="3" t="inlineStr">
        <ns0:is>
          <ns0:t>XX</ns0:t>
        </ns0:is>
      </ns0:c>
      <ns0:c r="X3" s="3" t="inlineStr">
        <ns0:is>
          <ns0:t>XXI</ns0:t>
        </ns0:is>
      </ns0:c>
      <ns0:c r="Y3" s="3" t="inlineStr">
        <ns0:is>
          <ns0:t>XXII</ns0:t>
        </ns0:is>
      </ns0:c>
      <ns0:c r="Z3" s="3" t="inlineStr">
        <ns0:is>
          <ns0:t>XXIII</ns0:t>
        </ns0:is>
      </ns0:c>
      <ns0:c r="AA3" s="3" t="inlineStr">
        <ns0:is>
          <ns0:t>XXIV</ns0:t>
        </ns0:is>
      </ns0:c>
      <ns0:c r="AB3" s="3" t="inlineStr">
        <ns0:is>
          <ns0:t>XXV</ns0:t>
        </ns0:is>
      </ns0:c>
      <ns0:c r="AC3" s="3" t="inlineStr">
        <ns0:is>
          <ns0:t>XXVI</ns0:t>
        </ns0:is>
      </ns0:c>
      <ns0:c r="AD3" s="3" t="inlineStr">
        <ns0:is>
          <ns0:t>XXVII</ns0:t>
        </ns0:is>
      </ns0:c>
      <ns0:c r="AE3" s="3" t="inlineStr">
        <ns0:is>
          <ns0:t>XXVIII</ns0:t>
        </ns0:is>
      </ns0:c>
      <ns0:c r="AF3" s="3" t="inlineStr">
        <ns0:is>
          <ns0:t>XXIX</ns0:t>
        </ns0:is>
      </ns0:c>
      <ns0:c r="AG3" s="3" t="inlineStr">
        <ns0:is>
          <ns0:t>XXX</ns0:t>
        </ns0:is>
      </ns0:c>
      <ns0:c r="AH3" s="3" t="inlineStr">
        <ns0:is>
          <ns0:t>XXXI</ns0:t>
        </ns0:is>
      </ns0:c>
      <ns0:c r="AI3" s="3" t="inlineStr">
        <ns0:is>
          <ns0:t>XXXII</ns0:t>
        </ns0:is>
      </ns0:c>
      <ns0:c r="AJ3" s="3" t="inlineStr">
        <ns0:is>
          <ns0:t>XXXIII</ns0:t>
        </ns0:is>
      </ns0:c>
      <ns0:c r="AK3" s="3" t="inlineStr">
        <ns0:is>
          <ns0:t>XXXIV</ns0:t>
        </ns0:is>
      </ns0:c>
      <ns0:c r="AL3" s="3" t="inlineStr">
        <ns0:is>
          <ns0:t>XXXV</ns0:t>
        </ns0:is>
      </ns0:c>
      <ns0:c r="AM3" s="3" t="inlineStr">
        <ns0:is>
          <ns0:t>XXXVI</ns0:t>
        </ns0:is>
      </ns0:c>
      <ns0:c r="AN3" s="3" t="inlineStr">
        <ns0:is>
          <ns0:t>XXXVII</ns0:t>
        </ns0:is>
      </ns0:c>
      <ns0:c r="AO3" s="3" t="inlineStr">
        <ns0:is>
          <ns0:t>XXXVIII</ns0:t>
        </ns0:is>
      </ns0:c>
      <ns0:c r="AP3" s="3" t="inlineStr">
        <ns0:is>
          <ns0:t>XXXIX</ns0:t>
        </ns0:is>
      </ns0:c>
      <ns0:c r="AQ3" s="3" t="inlineStr">
        <ns0:is>
          <ns0:t>XL</ns0:t>
        </ns0:is>
      </ns0:c>
      <ns0:c r="AR3" s="3" t="inlineStr">
        <ns0:is>
          <ns0:t>XLI</ns0:t>
        </ns0:is>
      </ns0:c>
      <ns0:c r="AS3" s="3" t="inlineStr">
        <ns0:is>
          <ns0:t>XLII</ns0:t>
        </ns0:is>
      </ns0:c>
      <ns0:c r="AT3" s="3" t="inlineStr">
        <ns0:is>
          <ns0:t>XLIII</ns0:t>
        </ns0:is>
      </ns0:c>
      <ns0:c r="AU3" s="3" t="inlineStr">
        <ns0:is>
          <ns0:t>XLIV</ns0:t>
        </ns0:is>
      </ns0:c>
      <ns0:c r="AV3" s="3" t="inlineStr">
        <ns0:is>
          <ns0:t>XLV</ns0:t>
        </ns0:is>
      </ns0:c>
      <ns0:c r="AW3" s="3" t="inlineStr">
        <ns0:is>
          <ns0:t>XLVI</ns0:t>
        </ns0:is>
      </ns0:c>
    </ns0:row>
    <ns0:row r="4">
      <ns0:c r="A4" s="3" t="inlineStr">
        <ns0:is>
          <ns0:t>I</ns0:t>
        </ns0:is>
      </ns0:c>
      <ns0:c r="B4" s="3" t="inlineStr">
        <ns0:is>
          <ns0:t>Parte permanente — Nível I</ns0:t>
        </ns0:is>
      </ns0:c>
      <ns0:c r="C4" s="3" t="inlineStr">
        <ns0:is>
          <ns0:t>base</ns0:t>
        </ns0:is>
      </ns0:c>
      <ns0:c r="D4" s="53" t="n">
        <ns0:v>2180.44</ns0:v>
      </ns0:c>
      <ns0:c r="E4" s="53" t="n">
        <ns0:v>2241.49</ns0:v>
      </ns0:c>
      <ns0:c r="F4" s="53" t="n">
        <ns0:v>2304.25</ns0:v>
      </ns0:c>
      <ns0:c r="G4" s="53" t="n">
        <ns0:v>2368.77</ns0:v>
      </ns0:c>
      <ns0:c r="H4" s="53" t="n">
        <ns0:v>2435.1</ns0:v>
      </ns0:c>
      <ns0:c r="I4" s="53" t="n">
        <ns0:v>2503.28</ns0:v>
      </ns0:c>
      <ns0:c r="J4" s="53" t="n">
        <ns0:v>2573.37</ns0:v>
      </ns0:c>
      <ns0:c r="K4" s="53" t="n">
        <ns0:v>2645.43</ns0:v>
      </ns0:c>
      <ns0:c r="L4" s="53" t="n">
        <ns0:v>2719.5</ns0:v>
      </ns0:c>
      <ns0:c r="M4" s="53" t="n">
        <ns0:v>2795.65</ns0:v>
      </ns0:c>
      <ns0:c r="N4" s="53" t="n">
        <ns0:v>2873.93</ns0:v>
      </ns0:c>
      <ns0:c r="O4" s="53" t="n">
        <ns0:v>2954.39</ns0:v>
      </ns0:c>
      <ns0:c r="P4" s="53" t="n">
        <ns0:v>3037.12</ns0:v>
      </ns0:c>
      <ns0:c r="Q4" s="53" t="n">
        <ns0:v>3122.16</ns0:v>
      </ns0:c>
      <ns0:c r="R4" s="53" t="n">
        <ns0:v>3209.58</ns0:v>
      </ns0:c>
      <ns0:c r="S4" s="53" t="n">
        <ns0:v>3299.45</ns0:v>
      </ns0:c>
      <ns0:c r="T4" s="53" t="n">
        <ns0:v>3391.83</ns0:v>
      </ns0:c>
      <ns0:c r="U4" s="53" t="n">
        <ns0:v>3486.8</ns0:v>
      </ns0:c>
      <ns0:c r="V4" s="53" t="n">
        <ns0:v>3584.43</ns0:v>
      </ns0:c>
      <ns0:c r="W4" s="53" t="n">
        <ns0:v>3684.8</ns0:v>
      </ns0:c>
      <ns0:c r="X4" s="53" t="n">
        <ns0:v>3787.97</ns0:v>
      </ns0:c>
      <ns0:c r="Y4" s="53" t="n">
        <ns0:v>3894.03</ns0:v>
      </ns0:c>
      <ns0:c r="Z4" s="53" t="n">
        <ns0:v>4003.07</ns0:v>
      </ns0:c>
      <ns0:c r="AA4" s="53" t="n">
        <ns0:v>4115.15</ns0:v>
      </ns0:c>
      <ns0:c r="AB4" s="53" t="n">
        <ns0:v>4230.38</ns0:v>
      </ns0:c>
      <ns0:c r="AC4" s="53" t="n">
        <ns0:v>4348.83</ns0:v>
      </ns0:c>
      <ns0:c r="AD4" s="53" t="n">
        <ns0:v>4470.59</ns0:v>
      </ns0:c>
      <ns0:c r="AE4" s="53" t="n">
        <ns0:v>4595.77</ns0:v>
      </ns0:c>
      <ns0:c r="AF4" s="53" t="n">
        <ns0:v>4724.45</ns0:v>
      </ns0:c>
      <ns0:c r="AG4" s="53" t="n">
        <ns0:v>4856.74</ns0:v>
      </ns0:c>
      <ns0:c r="AH4" s="53" t="n">
        <ns0:v>4992.73</ns0:v>
      </ns0:c>
      <ns0:c r="AI4" s="53" t="n">
        <ns0:v>5132.52</ns0:v>
      </ns0:c>
      <ns0:c r="AJ4" s="53" t="n">
        <ns0:v>5276.23</ns0:v>
      </ns0:c>
      <ns0:c r="AK4" s="53" t="n">
        <ns0:v>5423.97</ns0:v>
      </ns0:c>
      <ns0:c r="AL4" s="53" t="n">
        <ns0:v>5575.84</ns0:v>
      </ns0:c>
      <ns0:c r="AM4" s="53" t="n">
        <ns0:v>5731.96</ns0:v>
      </ns0:c>
      <ns0:c r="AN4" s="53" t="n">
        <ns0:v>5892.46</ns0:v>
      </ns0:c>
      <ns0:c r="AO4" s="53" t="n">
        <ns0:v>6057.45</ns0:v>
      </ns0:c>
      <ns0:c r="AP4" s="53" t="n">
        <ns0:v>6227.05</ns0:v>
      </ns0:c>
      <ns0:c r="AQ4" s="53" t="n">
        <ns0:v>6401.41</ns0:v>
      </ns0:c>
      <ns0:c r="AR4" s="53" t="n">
        <ns0:v>6580.65</ns0:v>
      </ns0:c>
      <ns0:c r="AS4" s="53" t="n">
        <ns0:v>6764.91</ns0:v>
      </ns0:c>
      <ns0:c r="AT4" s="53" t="n">
        <ns0:v>6954.33</ns0:v>
      </ns0:c>
      <ns0:c r="AU4" s="53" t="n">
        <ns0:v>7149.05</ns0:v>
      </ns0:c>
      <ns0:c r="AV4" s="53" t="n">
        <ns0:v>7349.22</ns0:v>
      </ns0:c>
      <ns0:c r="AW4" s="53" t="n">
        <ns0:v>7555</ns0:v>
      </ns0:c>
    </ns0:row>
    <ns0:row r="5">
      <ns0:c r="A5" s="3" t="inlineStr">
        <ns0:is>
          <ns0:t>II</ns0:t>
        </ns0:is>
      </ns0:c>
      <ns0:c r="B5" s="3" t="inlineStr">
        <ns0:is>
          <ns0:t>Parte permanente — Nível II</ns0:t>
        </ns0:is>
      </ns0:c>
      <ns0:c r="C5" s="3" t="inlineStr">
        <ns0:is>
          <ns0:t>percentual</ns0:t>
        </ns0:is>
      </ns0:c>
      <ns0:c r="D5" s="53" t="n">
        <ns0:v>2507.51</ns0:v>
      </ns0:c>
      <ns0:c r="E5" s="53" t="n">
        <ns0:v>2577.72</ns0:v>
      </ns0:c>
      <ns0:c r="F5" s="53" t="n">
        <ns0:v>2649.89</ns0:v>
      </ns0:c>
      <ns0:c r="G5" s="53" t="n">
        <ns0:v>2724.09</ns0:v>
      </ns0:c>
      <ns0:c r="H5" s="53" t="n">
        <ns0:v>2800.36</ns0:v>
      </ns0:c>
      <ns0:c r="I5" s="53" t="n">
        <ns0:v>2878.77</ns0:v>
      </ns0:c>
      <ns0:c r="J5" s="53" t="n">
        <ns0:v>2959.38</ns0:v>
      </ns0:c>
      <ns0:c r="K5" s="53" t="n">
        <ns0:v>3042.24</ns0:v>
      </ns0:c>
      <ns0:c r="L5" s="53" t="n">
        <ns0:v>3127.43</ns0:v>
      </ns0:c>
      <ns0:c r="M5" s="53" t="n">
        <ns0:v>3214.99</ns0:v>
      </ns0:c>
      <ns0:c r="N5" s="53" t="n">
        <ns0:v>3305.01</ns0:v>
      </ns0:c>
      <ns0:c r="O5" s="53" t="n">
        <ns0:v>3397.55</ns0:v>
      </ns0:c>
      <ns0:c r="P5" s="53" t="n">
        <ns0:v>3492.69</ns0:v>
      </ns0:c>
      <ns0:c r="Q5" s="53" t="n">
        <ns0:v>3590.48</ns0:v>
      </ns0:c>
      <ns0:c r="R5" s="53" t="n">
        <ns0:v>3691.01</ns0:v>
      </ns0:c>
      <ns0:c r="S5" s="53" t="n">
        <ns0:v>3794.36</ns0:v>
      </ns0:c>
      <ns0:c r="T5" s="53" t="n">
        <ns0:v>3900.6</ns0:v>
      </ns0:c>
      <ns0:c r="U5" s="53" t="n">
        <ns0:v>4009.82</ns0:v>
      </ns0:c>
      <ns0:c r="V5" s="53" t="n">
        <ns0:v>4122.1</ns0:v>
      </ns0:c>
      <ns0:c r="W5" s="53" t="n">
        <ns0:v>4237.52</ns0:v>
      </ns0:c>
      <ns0:c r="X5" s="53" t="n">
        <ns0:v>4356.17</ns0:v>
      </ns0:c>
      <ns0:c r="Y5" s="53" t="n">
        <ns0:v>4478.14</ns0:v>
      </ns0:c>
      <ns0:c r="Z5" s="53" t="n">
        <ns0:v>4603.53</ns0:v>
      </ns0:c>
      <ns0:c r="AA5" s="53" t="n">
        <ns0:v>4732.43</ns0:v>
      </ns0:c>
      <ns0:c r="AB5" s="53" t="n">
        <ns0:v>4864.93</ns0:v>
      </ns0:c>
      <ns0:c r="AC5" s="53" t="n">
        <ns0:v>5001.15</ns0:v>
      </ns0:c>
      <ns0:c r="AD5" s="53" t="n">
        <ns0:v>5141.18</ns0:v>
      </ns0:c>
      <ns0:c r="AE5" s="53" t="n">
        <ns0:v>5285.14</ns0:v>
      </ns0:c>
      <ns0:c r="AF5" s="53" t="n">
        <ns0:v>5433.12</ns0:v>
      </ns0:c>
      <ns0:c r="AG5" s="53" t="n">
        <ns0:v>5585.25</ns0:v>
      </ns0:c>
      <ns0:c r="AH5" s="53" t="n">
        <ns0:v>5741.63</ns0:v>
      </ns0:c>
      <ns0:c r="AI5" s="53" t="n">
        <ns0:v>5902.4</ns0:v>
      </ns0:c>
      <ns0:c r="AJ5" s="53" t="n">
        <ns0:v>6067.67</ns0:v>
      </ns0:c>
      <ns0:c r="AK5" s="53" t="n">
        <ns0:v>6237.56</ns0:v>
      </ns0:c>
      <ns0:c r="AL5" s="53" t="n">
        <ns0:v>6412.21</ns0:v>
      </ns0:c>
      <ns0:c r="AM5" s="53" t="n">
        <ns0:v>6591.76</ns0:v>
      </ns0:c>
      <ns0:c r="AN5" s="53" t="n">
        <ns0:v>6776.32</ns0:v>
      </ns0:c>
      <ns0:c r="AO5" s="53" t="n">
        <ns0:v>6966.06</ns0:v>
      </ns0:c>
      <ns0:c r="AP5" s="53" t="n">
        <ns0:v>7161.11</ns0:v>
      </ns0:c>
      <ns0:c r="AQ5" s="53" t="n">
        <ns0:v>7361.62</ns0:v>
      </ns0:c>
      <ns0:c r="AR5" s="53" t="n">
        <ns0:v>7567.75</ns0:v>
      </ns0:c>
      <ns0:c r="AS5" s="53" t="n">
        <ns0:v>7779.65</ns0:v>
      </ns0:c>
      <ns0:c r="AT5" s="53" t="n">
        <ns0:v>7997.48</ns0:v>
      </ns0:c>
      <ns0:c r="AU5" s="53" t="n">
        <ns0:v>8221.4</ns0:v>
      </ns0:c>
      <ns0:c r="AV5" s="53" t="n">
        <ns0:v>8451.6</ns0:v>
      </ns0:c>
      <ns0:c r="AW5" s="53" t="n">
        <ns0:v>8688.25</ns0:v>
      </ns0:c>
    </ns0:row>
    <ns0:row r="6">
      <ns0:c r="A6" s="3" t="inlineStr">
        <ns0:is>
          <ns0:t>III</ns0:t>
        </ns0:is>
      </ns0:c>
      <ns0:c r="B6" s="3" t="inlineStr">
        <ns0:is>
          <ns0:t>Parte permanente — Nível III</ns0:t>
        </ns0:is>
      </ns0:c>
      <ns0:c r="C6" s="3" t="inlineStr">
        <ns0:is>
          <ns0:t>percentual</ns0:t>
        </ns0:is>
      </ns0:c>
      <ns0:c r="D6" s="53" t="n">
        <ns0:v>2883.63</ns0:v>
      </ns0:c>
      <ns0:c r="E6" s="53" t="n">
        <ns0:v>2964.37</ns0:v>
      </ns0:c>
      <ns0:c r="F6" s="53" t="n">
        <ns0:v>3047.38</ns0:v>
      </ns0:c>
      <ns0:c r="G6" s="53" t="n">
        <ns0:v>3132.7</ns0:v>
      </ns0:c>
      <ns0:c r="H6" s="53" t="n">
        <ns0:v>3220.42</ns0:v>
      </ns0:c>
      <ns0:c r="I6" s="53" t="n">
        <ns0:v>3310.59</ns0:v>
      </ns0:c>
      <ns0:c r="J6" s="53" t="n">
        <ns0:v>3403.29</ns0:v>
      </ns0:c>
      <ns0:c r="K6" s="53" t="n">
        <ns0:v>3498.58</ns0:v>
      </ns0:c>
      <ns0:c r="L6" s="53" t="n">
        <ns0:v>3596.54</ns0:v>
      </ns0:c>
      <ns0:c r="M6" s="53" t="n">
        <ns0:v>3697.24</ns0:v>
      </ns0:c>
      <ns0:c r="N6" s="53" t="n">
        <ns0:v>3800.77</ns0:v>
      </ns0:c>
      <ns0:c r="O6" s="53" t="n">
        <ns0:v>3907.19</ns0:v>
      </ns0:c>
      <ns0:c r="P6" s="53" t="n">
        <ns0:v>4016.59</ns0:v>
      </ns0:c>
      <ns0:c r="Q6" s="53" t="n">
        <ns0:v>4129.05</ns0:v>
      </ns0:c>
      <ns0:c r="R6" s="53" t="n">
        <ns0:v>4244.67</ns0:v>
      </ns0:c>
      <ns0:c r="S6" s="53" t="n">
        <ns0:v>4363.52</ns0:v>
      </ns0:c>
      <ns0:c r="T6" s="53" t="n">
        <ns0:v>4485.7</ns0:v>
      </ns0:c>
      <ns0:c r="U6" s="53" t="n">
        <ns0:v>4611.3</ns0:v>
      </ns0:c>
      <ns0:c r="V6" s="53" t="n">
        <ns0:v>4740.41</ns0:v>
      </ns0:c>
      <ns0:c r="W6" s="53" t="n">
        <ns0:v>4873.14</ns0:v>
      </ns0:c>
      <ns0:c r="X6" s="53" t="n">
        <ns0:v>5009.59</ns0:v>
      </ns0:c>
      <ns0:c r="Y6" s="53" t="n">
        <ns0:v>5149.86</ns0:v>
      </ns0:c>
      <ns0:c r="Z6" s="53" t="n">
        <ns0:v>5294.06</ns0:v>
      </ns0:c>
      <ns0:c r="AA6" s="53" t="n">
        <ns0:v>5442.29</ns0:v>
      </ns0:c>
      <ns0:c r="AB6" s="53" t="n">
        <ns0:v>5594.67</ns0:v>
      </ns0:c>
      <ns0:c r="AC6" s="53" t="n">
        <ns0:v>5751.32</ns0:v>
      </ns0:c>
      <ns0:c r="AD6" s="53" t="n">
        <ns0:v>5912.36</ns0:v>
      </ns0:c>
      <ns0:c r="AE6" s="53" t="n">
        <ns0:v>6077.91</ns0:v>
      </ns0:c>
      <ns0:c r="AF6" s="53" t="n">
        <ns0:v>6248.09</ns0:v>
      </ns0:c>
      <ns0:c r="AG6" s="53" t="n">
        <ns0:v>6423.04</ns0:v>
      </ns0:c>
      <ns0:c r="AH6" s="53" t="n">
        <ns0:v>6602.88</ns0:v>
      </ns0:c>
      <ns0:c r="AI6" s="53" t="n">
        <ns0:v>6787.76</ns0:v>
      </ns0:c>
      <ns0:c r="AJ6" s="53" t="n">
        <ns0:v>6977.82</ns0:v>
      </ns0:c>
      <ns0:c r="AK6" s="53" t="n">
        <ns0:v>7173.2</ns0:v>
      </ns0:c>
      <ns0:c r="AL6" s="53" t="n">
        <ns0:v>7374.05</ns0:v>
      </ns0:c>
      <ns0:c r="AM6" s="53" t="n">
        <ns0:v>7580.52</ns0:v>
      </ns0:c>
      <ns0:c r="AN6" s="53" t="n">
        <ns0:v>7792.77</ns0:v>
      </ns0:c>
      <ns0:c r="AO6" s="53" t="n">
        <ns0:v>8010.97</ns0:v>
      </ns0:c>
      <ns0:c r="AP6" s="53" t="n">
        <ns0:v>8235.280000000001</ns0:v>
      </ns0:c>
      <ns0:c r="AQ6" s="53" t="n">
        <ns0:v>8465.870000000001</ns0:v>
      </ns0:c>
      <ns0:c r="AR6" s="53" t="n">
        <ns0:v>8702.91</ns0:v>
      </ns0:c>
      <ns0:c r="AS6" s="53" t="n">
        <ns0:v>8946.59</ns0:v>
      </ns0:c>
      <ns0:c r="AT6" s="53" t="n">
        <ns0:v>9197.1</ns0:v>
      </ns0:c>
      <ns0:c r="AU6" s="53" t="n">
        <ns0:v>9454.620000000001</ns0:v>
      </ns0:c>
      <ns0:c r="AV6" s="53" t="n">
        <ns0:v>9719.35</ns0:v>
      </ns0:c>
      <ns0:c r="AW6" s="53" t="n">
        <ns0:v>9991.49</ns0:v>
      </ns0:c>
    </ns0:row>
    <ns0:row r="7">
      <ns0:c r="A7" s="3" t="inlineStr">
        <ns0:is>
          <ns0:t>IV</ns0:t>
        </ns0:is>
      </ns0:c>
      <ns0:c r="B7" s="3" t="inlineStr">
        <ns0:is>
          <ns0:t>Parte permanente — Nível IV</ns0:t>
        </ns0:is>
      </ns0:c>
      <ns0:c r="C7" s="3" t="inlineStr">
        <ns0:is>
          <ns0:t>percentual</ns0:t>
        </ns0:is>
      </ns0:c>
      <ns0:c r="D7" s="53" t="n">
        <ns0:v>3316.18</ns0:v>
      </ns0:c>
      <ns0:c r="E7" s="53" t="n">
        <ns0:v>3409.03</ns0:v>
      </ns0:c>
      <ns0:c r="F7" s="53" t="n">
        <ns0:v>3504.48</ns0:v>
      </ns0:c>
      <ns0:c r="G7" s="53" t="n">
        <ns0:v>3602.61</ns0:v>
      </ns0:c>
      <ns0:c r="H7" s="53" t="n">
        <ns0:v>3703.48</ns0:v>
      </ns0:c>
      <ns0:c r="I7" s="53" t="n">
        <ns0:v>3807.18</ns0:v>
      </ns0:c>
      <ns0:c r="J7" s="53" t="n">
        <ns0:v>3913.78</ns0:v>
      </ns0:c>
      <ns0:c r="K7" s="53" t="n">
        <ns0:v>4023.37</ns0:v>
      </ns0:c>
      <ns0:c r="L7" s="53" t="n">
        <ns0:v>4136.02</ns0:v>
      </ns0:c>
      <ns0:c r="M7" s="53" t="n">
        <ns0:v>4251.83</ns0:v>
      </ns0:c>
      <ns0:c r="N7" s="53" t="n">
        <ns0:v>4370.88</ns0:v>
      </ns0:c>
      <ns0:c r="O7" s="53" t="n">
        <ns0:v>4493.27</ns0:v>
      </ns0:c>
      <ns0:c r="P7" s="53" t="n">
        <ns0:v>4619.08</ns0:v>
      </ns0:c>
      <ns0:c r="Q7" s="53" t="n">
        <ns0:v>4748.41</ns0:v>
      </ns0:c>
      <ns0:c r="R7" s="53" t="n">
        <ns0:v>4881.37</ns0:v>
      </ns0:c>
      <ns0:c r="S7" s="53" t="n">
        <ns0:v>5018.04</ns0:v>
      </ns0:c>
      <ns0:c r="T7" s="53" t="n">
        <ns0:v>5158.55</ns0:v>
      </ns0:c>
      <ns0:c r="U7" s="53" t="n">
        <ns0:v>5302.99</ns0:v>
      </ns0:c>
      <ns0:c r="V7" s="53" t="n">
        <ns0:v>5451.47</ns0:v>
      </ns0:c>
      <ns0:c r="W7" s="53" t="n">
        <ns0:v>5604.11</ns0:v>
      </ns0:c>
      <ns0:c r="X7" s="53" t="n">
        <ns0:v>5761.03</ns0:v>
      </ns0:c>
      <ns0:c r="Y7" s="53" t="n">
        <ns0:v>5922.34</ns0:v>
      </ns0:c>
      <ns0:c r="Z7" s="53" t="n">
        <ns0:v>6088.16</ns0:v>
      </ns0:c>
      <ns0:c r="AA7" s="53" t="n">
        <ns0:v>6258.63</ns0:v>
      </ns0:c>
      <ns0:c r="AB7" s="53" t="n">
        <ns0:v>6433.87</ns0:v>
      </ns0:c>
      <ns0:c r="AC7" s="53" t="n">
        <ns0:v>6614.02</ns0:v>
      </ns0:c>
      <ns0:c r="AD7" s="53" t="n">
        <ns0:v>6799.22</ns0:v>
      </ns0:c>
      <ns0:c r="AE7" s="53" t="n">
        <ns0:v>6989.59</ns0:v>
      </ns0:c>
      <ns0:c r="AF7" s="53" t="n">
        <ns0:v>7185.3</ns0:v>
      </ns0:c>
      <ns0:c r="AG7" s="53" t="n">
        <ns0:v>7386.49</ns0:v>
      </ns0:c>
      <ns0:c r="AH7" s="53" t="n">
        <ns0:v>7593.31</ns0:v>
      </ns0:c>
      <ns0:c r="AI7" s="53" t="n">
        <ns0:v>7805.92</ns0:v>
      </ns0:c>
      <ns0:c r="AJ7" s="53" t="n">
        <ns0:v>8024.49</ns0:v>
      </ns0:c>
      <ns0:c r="AK7" s="53" t="n">
        <ns0:v>8249.18</ns0:v>
      </ns0:c>
      <ns0:c r="AL7" s="53" t="n">
        <ns0:v>8480.15</ns0:v>
      </ns0:c>
      <ns0:c r="AM7" s="53" t="n">
        <ns0:v>8717.6</ns0:v>
      </ns0:c>
      <ns0:c r="AN7" s="53" t="n">
        <ns0:v>8961.690000000001</ns0:v>
      </ns0:c>
      <ns0:c r="AO7" s="53" t="n">
        <ns0:v>9212.620000000001</ns0:v>
      </ns0:c>
      <ns0:c r="AP7" s="53" t="n">
        <ns0:v>9470.57</ns0:v>
      </ns0:c>
      <ns0:c r="AQ7" s="53" t="n">
        <ns0:v>9735.75</ns0:v>
      </ns0:c>
      <ns0:c r="AR7" s="53" t="n">
        <ns0:v>10008.35</ns0:v>
      </ns0:c>
      <ns0:c r="AS7" s="53" t="n">
        <ns0:v>10288.58</ns0:v>
      </ns0:c>
      <ns0:c r="AT7" s="53" t="n">
        <ns0:v>10576.66</ns0:v>
      </ns0:c>
      <ns0:c r="AU7" s="53" t="n">
        <ns0:v>10872.81</ns0:v>
      </ns0:c>
      <ns0:c r="AV7" s="53" t="n">
        <ns0:v>11177.25</ns0:v>
      </ns0:c>
      <ns0:c r="AW7" s="53" t="n">
        <ns0:v>11490.21</ns0:v>
      </ns0:c>
    </ns0:row>
  </ns0:sheetData>
  <ns0:mergeCells count="1">
    <ns0:mergeCell ref="A1:R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21"/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2" customWidth="1" min="1" max="1"/>
    <ns0:col width="90" customWidth="1" min="2" max="2"/>
    <ns0:col width="25" customWidth="1" min="3" max="3"/>
  </ns0:cols>
  <ns0:sheetData>
    <ns0:row r="1" ht="26" customHeight="1">
      <ns0:c r="A1" s="22" t="inlineStr">
        <ns0:is>
          <ns0:t>FONTES E DECISÕES ADOTADAS</ns0:t>
        </ns0:is>
      </ns0:c>
      <ns0:c r="B1" s="22" t="n"/>
      <ns0:c r="C1" s="22" t="n"/>
    </ns0:row>
    <ns0:row r="3" ht="48" customHeight="1">
      <ns0:c r="A3" s="2" t="inlineStr">
        <ns0:is>
          <ns0:t>Organização</ns0:t>
        </ns0:is>
      </ns0:c>
      <ns0:c r="B3" s="2" t="inlineStr">
        <ns0:is>
          <ns0:t>Jornada (2).pdf, páginas impressas 9–11: estrutura, atual verde, referência roxa, não conformidades, diferenças e defasagem em vermelho.</ns0:t>
        </ns0:is>
      </ns0:c>
      <ns0:c r="C3" s="54" t="n"/>
    </ns0:row>
    <ns0:row r="4" ht="48" customHeight="1">
      <ns0:c r="A4" s="2" t="inlineStr">
        <ns0:is>
          <ns0:t>Tabela municipal</ns0:t>
        </ns0:is>
      </ns0:c>
      <ns0:c r="B4" s="2" t="inlineStr">
        <ns0:is>
          <ns0:t>curitiba.pdf, página 2 (Anexo B1)</ns0:t>
        </ns0:is>
      </ns0:c>
      <ns0:c r="C4" s="54" t="n"/>
    </ns0:row>
    <ns0:row r="5" ht="48" customHeight="1">
      <ns0:c r="A5" s="2" t="inlineStr">
        <ns0:is>
          <ns0:t>URL tabela</ns0:t>
        </ns0:is>
      </ns0:c>
      <ns0:c r="B5" s="2" t="inlineStr">
        <ns0:is>
          <ns0:t>https://mid-transparencia.curitiba.pr.gov.br/funcionarios/ano_2026_tabelas_salariais_20260204.pdf</ns0:t>
        </ns0:is>
      </ns0:c>
      <ns0:c r="C5" s="54" t="n"/>
    </ns0:row>
    <ns0:row r="6" ht="48" customHeight="1">
      <ns0:c r="A6" s="2" t="inlineStr">
        <ns0:is>
          <ns0:t>Referência</ns0:t>
        </ns0:is>
      </ns0:c>
      <ns0:c r="B6" s="2" t="inlineStr">
        <ns0:is>
          <ns0:t>Hipótese de teste definida pela equipe: 2.180,44 × 1,05. Não é piso legal nem proposta aprovada.</ns0:t>
        </ns0:is>
      </ns0:c>
      <ns0:c r="C6" s="54" t="n"/>
    </ns0:row>
    <ns0:row r="7" ht="48" customHeight="1">
      <ns0:c r="A7" s="2" t="inlineStr">
        <ns0:is>
          <ns0:t>URL referência</ns0:t>
        </ns0:is>
      </ns0:c>
      <ns0:c r="B7" s="2" t="inlineStr"/>
      <ns0:c r="C7" s="54" t="n"/>
    </ns0:row>
    <ns0:row r="8" ht="48" customHeight="1">
      <ns0:c r="A8" s="2" t="inlineStr">
        <ns0:is>
          <ns0:t>Centavos</ns0:t>
        </ns0:is>
      </ns0:c>
      <ns0:c r="B8" s="2" t="inlineStr">
        <ns0:is>
          <ns0:t>arredondar em cada etapa. Padrão geral: arredondar. Cafezal: truncar para reproduzir o anexo.</ns0:t>
        </ns0:is>
      </ns0:c>
      <ns0:c r="C8" s="54" t="n"/>
    </ns0:row>
    <ns0:row r="9" ht="48" customHeight="1">
      <ns0:c r="A9" s="2" t="inlineStr">
        <ns0:is>
          <ns0:t>Vigência</ns0:t>
        </ns0:is>
      </ns0:c>
      <ns0:c r="B9" s="2" t="inlineStr">
        <ns0:is>
          <ns0:t>2026; não pressupõe que a tabela histórica seja a mais recente.</ns0:t>
        </ns0:is>
      </ns0:c>
      <ns0:c r="C9" s="54" t="n"/>
    </ns0:row>
    <ns0:row r="10" ht="48" customHeight="1">
      <ns0:c r="A10" s="2" t="inlineStr">
        <ns0:is>
          <ns0:t>Regra da defasagem</ns0:t>
        </ns0:is>
      </ns0:c>
      <ns0:c r="B10" s="2" t="inlineStr">
        <ns0:is>
          <ns0:t>(referência / atual - 1) × 100; o destaque usa a classe inicial, conforme o exemplo.</ns0:t>
        </ns0:is>
      </ns0:c>
      <ns0:c r="C10" s="54" t="n"/>
    </ns0:row>
    <ns0:row r="11" ht="48" customHeight="1">
      <ns0:c r="A11" s="2" t="inlineStr">
        <ns0:is>
          <ns0:t>Valores atuais</ns0:t>
        </ns0:is>
      </ns0:c>
      <ns0:c r="B11" s="2" t="inlineStr">
        <ns0:is>
          <ns0:t>Transcritos do documento. Permanecem preservados; somente referências são calculadas.</ns0:t>
        </ns0:is>
      </ns0:c>
      <ns0:c r="C11" s="54" t="n"/>
    </ns0:row>
    <ns0:row r="12" ht="48" customHeight="1">
      <ns0:c r="A12" s="2" t="inlineStr">
        <ns0:is>
          <ns0:t>Uso da referência</ns0:t>
        </ns0:is>
      </ns0:c>
      <ns0:c r="B12" s="2" t="inlineStr">
        <ns0:is>
          <ns0:t>cenario: Cenário didático: base inicial +5%</ns0:t>
        </ns0:is>
      </ns0:c>
      <ns0:c r="C12" s="54" t="n"/>
    </ns0:row>
    <ns0:row r="13" ht="48" customHeight="1">
      <ns0:c r="A13" s="2" t="inlineStr">
        <ns0:is>
          <ns0:t>Cores de alerta</ns0:t>
        </ns0:is>
      </ns0:c>
      <ns0:c r="B13" s="2" t="inlineStr">
        <ns0:is>
          <ns0:t>Vermelho na tabela atual: vencimento abaixo da base de referência. Diferenças da carreira: atual menos referência.</ns0:t>
        </ns0:is>
      </ns0:c>
      <ns0:c r="C13" s="54" t="n"/>
    </ns0:row>
    <ns0:row r="14" ht="48" customHeight="1">
      <ns0:c r="A14" s="2" t="inlineStr">
        <ns0:is>
          <ns0:t>Edição posterior</ns0:t>
        </ns0:is>
      </ns0:c>
      <ns0:c r="B14" s="2" t="inlineStr">
        <ns0:is>
          <ns0:t>Ajuste valores, modo e progressões em Parâmetros/Dados originais. Mudança de fonte, profissão, vigência ou quantidade de classes: regenere pelo sistema.</ns0:t>
        </ns0:is>
      </ns0:c>
      <ns0:c r="C14" s="54" t="n"/>
    </ns0:row>
    <ns0:row r="15" ht="48" customHeight="1">
      <ns0:c r="A15" s="2" t="inlineStr">
        <ns0:is>
          <ns0:t>Observação ao gerar</ns0:t>
        </ns0:is>
      </ns0:c>
      <ns0:c r="B15" s="2" t="inlineStr">
        <ns0:is>
          <ns0:t>Tabela oficial de janeiro de 2026; não foi confirmada publicação posterior.</ns0:t>
        </ns0:is>
      </ns0:c>
      <ns0:c r="C15" s="54" t="n"/>
    </ns0:row>
    <ns0:row r="16" ht="48" customHeight="1">
      <ns0:c r="A16" s="2" t="inlineStr">
        <ns0:is>
          <ns0:t>Observação ao gerar</ns0:t>
        </ns0:is>
      </ns0:c>
      <ns0:c r="B16" s="2" t="inlineStr">
        <ns0:is>
          <ns0:t>Recorte completo da parte permanente do Anexo B1: 4 níveis e 46 referências. Parte especial excluída explicitamente por ter enquadramento distinto.</ns0:t>
        </ns0:is>
      </ns0:c>
      <ns0:c r="C16" s="54" t="n"/>
    </ns0:row>
    <ns0:row r="17" ht="48" customHeight="1">
      <ns0:c r="A17" s="2" t="inlineStr">
        <ns0:is>
          <ns0:t>Observação ao gerar</ns0:t>
        </ns0:is>
      </ns0:c>
      <ns0:c r="B17" s="2" t="inlineStr">
        <ns0:is>
          <ns0:t>Progressão horizontal de 2,8% e vertical de 15% inferidas matematicamente para testar o fluxo; a lei deve validar sua aplicação.</ns0:t>
        </ns0:is>
      </ns0:c>
      <ns0:c r="C17" s="54" t="n"/>
    </ns0:row>
    <ns0:row r="18" ht="48" customHeight="1">
      <ns0:c r="A18" s="2" t="inlineStr">
        <ns0:is>
          <ns0:t>Observação ao gerar</ns0:t>
        </ns0:is>
      </ns0:c>
      <ns0:c r="B18" s="2" t="inlineStr">
        <ns0:is>
          <ns0:t>O arredondamento comercial foi aplicado em cada etapa; ele pode divergir em centavos de tabelas municipais que usam truncamento.</ns0:t>
        </ns0:is>
      </ns0:c>
      <ns0:c r="C18" s="54" t="n"/>
    </ns0:row>
    <ns0:row r="19" ht="48" customHeight="1">
      <ns0:c r="A19" s="2" t="inlineStr">
        <ns0:is>
          <ns0:t>Observação ao gerar</ns0:t>
        </ns0:is>
      </ns0:c>
      <ns0:c r="B19" s="2" t="inlineStr">
        <ns0:is>
          <ns0:t>As progressões entre classes foram inferidas matematicamente; confirme cada percentual na lei municipal.</ns0:t>
        </ns0:is>
      </ns0:c>
      <ns0:c r="C19" s="54" t="n"/>
    </ns0:row>
    <ns0:row r="20" ht="48" customHeight="1">
      <ns0:c r="A20" s="2" t="inlineStr">
        <ns0:is>
          <ns0:t>Observação ao gerar</ns0:t>
        </ns0:is>
      </ns0:c>
      <ns0:c r="B20" s="2" t="inlineStr">
        <ns0:is>
          <ns0:t>Referência de consultoria/cenário: diferenças não representam descumprimento de piso legal.</ns0:t>
        </ns0:is>
      </ns0:c>
      <ns0:c r="C20" s="54" t="n"/>
    </ns0:row>
    <ns0:row r="21" ht="48" customHeight="1">
      <ns0:c r="A21" s="2" t="inlineStr">
        <ns0:is>
          <ns0:t>Observação ao gerar</ns0:t>
        </ns0:is>
      </ns0:c>
      <ns0:c r="B21" s="2" t="inlineStr">
        <ns0:is>
          <ns0:t>A referência aplica as regras de carreira informadas; divergências numéricas não constituem parecer jurídico.</ns0:t>
        </ns0:is>
      </ns0:c>
      <ns0:c r="C21" s="54" t="n"/>
    </ns0:row>
  </ns0:sheetData>
  <ns0:mergeCells count="1">
    <ns0:mergeCell ref="A1:C1"/>
  </ns0:mergeCells>
  <ns0:printOptions horizontalCentered="1"/>
  <ns0:pageMargins left="0.75" right="0.75" top="1" bottom="1" header="0.5" footer="0.5"/>
  <ns0:pageSetup orientation="landscape" paperSize="9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2026-10-05T02:12:21Z</dcterms:created>
  <dcterms:modified xmlns:dcterms="http://purl.org/dc/terms/" xmlns:xsi="http://www.w3.org/2001/XMLSchema-instance" xsi:type="dcterms:W3CDTF">2026-10-05T02:12:21Z</dcterms:modified>
</cp:coreProperties>
</file>