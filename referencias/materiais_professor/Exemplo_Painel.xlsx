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295773F-B454-B345-8F98-56DA5536C078}" xr6:coauthVersionLast="47" xr6:coauthVersionMax="47" xr10:uidLastSave="{00000000-0000-0000-0000-000000000000}"/>
  <bookViews>
    <workbookView xWindow="-120" yWindow="-120" windowWidth="20730" windowHeight="11040" xr2:uid="{C153B3D5-B8D8-4469-BF17-2AB663BE73AC}"/>
  </bookViews>
  <sheets>
    <sheet name="Exemplo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4" i="1" l="1"/>
  <c r="S23" i="1"/>
  <c r="H15" i="1"/>
  <c r="G15" i="1"/>
  <c r="F15" i="1"/>
  <c r="E15" i="1"/>
  <c r="D15" i="1"/>
  <c r="C15" i="1"/>
  <c r="H14" i="1"/>
  <c r="G14" i="1"/>
  <c r="F14" i="1"/>
  <c r="E14" i="1"/>
  <c r="D14" i="1"/>
  <c r="C14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J10" i="1"/>
  <c r="H10" i="1"/>
  <c r="G10" i="1"/>
  <c r="F10" i="1"/>
  <c r="E10" i="1"/>
  <c r="D10" i="1"/>
  <c r="C10" i="1"/>
  <c r="M8" i="1"/>
  <c r="M9" i="1"/>
  <c r="L8" i="1"/>
  <c r="H8" i="1"/>
  <c r="G8" i="1"/>
  <c r="F8" i="1"/>
  <c r="E8" i="1"/>
  <c r="D8" i="1"/>
  <c r="C8" i="1"/>
  <c r="J7" i="1"/>
  <c r="H7" i="1"/>
  <c r="G7" i="1"/>
  <c r="F7" i="1"/>
  <c r="E7" i="1"/>
  <c r="D7" i="1"/>
  <c r="C7" i="1"/>
  <c r="M6" i="1"/>
  <c r="M7" i="1"/>
  <c r="L6" i="1"/>
</calcChain>
</file>

<file path=xl/sharedStrings.xml><?xml version="1.0" encoding="utf-8"?>
<sst xmlns="http://schemas.openxmlformats.org/spreadsheetml/2006/main" count="21" uniqueCount="17">
  <si>
    <t>PAINEL ORÇAMENTÁRIO/FISCAL</t>
  </si>
  <si>
    <r>
      <t xml:space="preserve">Município: </t>
    </r>
    <r>
      <rPr>
        <i/>
        <u/>
        <sz val="16"/>
        <color theme="1"/>
        <rFont val="Montserrat Black"/>
      </rPr>
      <t>XYX - PR</t>
    </r>
  </si>
  <si>
    <r>
      <t xml:space="preserve">2025
</t>
    </r>
    <r>
      <rPr>
        <i/>
        <sz val="9"/>
        <color theme="1"/>
        <rFont val="Arial"/>
        <family val="2"/>
      </rPr>
      <t>1º semestre</t>
    </r>
  </si>
  <si>
    <r>
      <t xml:space="preserve">2026
</t>
    </r>
    <r>
      <rPr>
        <i/>
        <sz val="9"/>
        <color theme="1"/>
        <rFont val="Arial"/>
        <family val="2"/>
      </rPr>
      <t>1º semestre</t>
    </r>
  </si>
  <si>
    <t>RREO - Receita Corrente Líquida Ajustada</t>
  </si>
  <si>
    <t>Média Anual</t>
  </si>
  <si>
    <t>Evolução</t>
  </si>
  <si>
    <t>RGF - Despesa Total com Pessoal</t>
  </si>
  <si>
    <t>Média</t>
  </si>
  <si>
    <r>
      <rPr>
        <b/>
        <sz val="12"/>
        <color theme="1"/>
        <rFont val="Arial"/>
        <family val="2"/>
      </rPr>
      <t>RGF - Despesa Total  com Pessoal</t>
    </r>
    <r>
      <rPr>
        <b/>
        <i/>
        <sz val="12"/>
        <color theme="1"/>
        <rFont val="Arial"/>
        <family val="2"/>
      </rPr>
      <t xml:space="preserve"> %</t>
    </r>
  </si>
  <si>
    <t>RREO - Transferências FUNDEB</t>
  </si>
  <si>
    <t xml:space="preserve">• LIMITE MÁXIMO (IX) (incisos I, II e III do art.20 da LRF) - 54% </t>
  </si>
  <si>
    <t>• LIMITE PRUDENCIAL (X) (parágrafo único do art.22 da LRF) - 51,3%</t>
  </si>
  <si>
    <t xml:space="preserve">                      Fonte: Sistema de Informações Municipais - Acompanhamento Mensal (SIM-AM), TCE - PR</t>
  </si>
  <si>
    <t xml:space="preserve">• LIMITE DE ALERTA (XI) (inciso II do § 1º do art. 59 da LRF) - 48,6% </t>
  </si>
  <si>
    <r>
      <t xml:space="preserve">Percentual de Aplicação em MDE
sobre a Receita Líquida de Impostos
</t>
    </r>
    <r>
      <rPr>
        <b/>
        <i/>
        <sz val="10"/>
        <color rgb="FFFF0000"/>
        <rFont val="Arial"/>
        <family val="2"/>
      </rPr>
      <t>(CF Art. 12 - Limite Constitucional 25%)</t>
    </r>
  </si>
  <si>
    <t xml:space="preserve">                      Relatório emitido em: 20/08/2026 às 15h02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</si>
</sst>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&quot;R$&quot;\ * #,##0.00_-;\-&quot;R$&quot;\ * #,##0.00_-;_-&quot;R$&quot;\ * &quot;-&quot;??_-;_-@"/>
  </numFmts>
  <fonts count="29" x14ac:knownFonts="1">
    <font>
      <sz val="11"/>
      <color theme="1"/>
      <name val="Aptos Narrow"/>
      <family val="2"/>
      <scheme val="minor"/>
    </font>
    <font>
      <sz val="22"/>
      <color theme="1"/>
      <name val="Arial Black"/>
      <family val="2"/>
    </font>
    <font>
      <sz val="11"/>
      <name val="liberation sans"/>
    </font>
    <font>
      <i/>
      <sz val="16"/>
      <color theme="1"/>
      <name val="Montserrat"/>
    </font>
    <font>
      <i/>
      <u/>
      <sz val="16"/>
      <color theme="1"/>
      <name val="Montserrat Black"/>
    </font>
    <font>
      <sz val="11"/>
      <color theme="1"/>
      <name val="Montserrat"/>
    </font>
    <font>
      <sz val="18"/>
      <color theme="1"/>
      <name val="Liberation sans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12"/>
      <name val="liberation sans"/>
    </font>
    <font>
      <sz val="11"/>
      <color theme="1"/>
      <name val="Arial"/>
      <family val="2"/>
    </font>
    <font>
      <b/>
      <sz val="6"/>
      <color rgb="FF000000"/>
      <name val="Cambria"/>
      <family val="1"/>
    </font>
    <font>
      <b/>
      <sz val="12"/>
      <color rgb="FFF2F2F2"/>
      <name val="Arial"/>
      <family val="2"/>
    </font>
    <font>
      <b/>
      <i/>
      <sz val="11"/>
      <color theme="1"/>
      <name val="Arial"/>
      <family val="2"/>
    </font>
    <font>
      <sz val="10"/>
      <color rgb="FF545454"/>
      <name val="Times New Roman"/>
      <family val="1"/>
    </font>
    <font>
      <sz val="11"/>
      <color rgb="FFF2F2F2"/>
      <name val="Liberation sans"/>
    </font>
    <font>
      <sz val="6"/>
      <color rgb="FF000000"/>
      <name val="Cambria"/>
      <family val="1"/>
    </font>
    <font>
      <b/>
      <i/>
      <sz val="12"/>
      <color theme="1"/>
      <name val="Arial"/>
      <family val="2"/>
    </font>
    <font>
      <sz val="11"/>
      <color theme="1"/>
      <name val="Liberation sans"/>
    </font>
    <font>
      <b/>
      <sz val="12"/>
      <color theme="0"/>
      <name val="Arial"/>
      <family val="2"/>
    </font>
    <font>
      <sz val="11"/>
      <color theme="0"/>
      <name val="Liberation sans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liberation sans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BFBFBF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0" xfId="0" applyFill="1"/>
    <xf numFmtId="0" fontId="6" fillId="4" borderId="0" xfId="0" applyFont="1" applyFill="1"/>
    <xf numFmtId="0" fontId="7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10" fillId="0" borderId="0" xfId="0" applyNumberFormat="1" applyFont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4" fontId="11" fillId="6" borderId="1" xfId="0" applyNumberFormat="1" applyFont="1" applyFill="1" applyBorder="1" applyAlignment="1">
      <alignment horizontal="right" vertical="top" wrapText="1" readingOrder="1"/>
    </xf>
    <xf numFmtId="0" fontId="12" fillId="7" borderId="0" xfId="0" applyFont="1" applyFill="1" applyAlignment="1">
      <alignment vertical="center"/>
    </xf>
    <xf numFmtId="10" fontId="13" fillId="2" borderId="0" xfId="0" applyNumberFormat="1" applyFont="1" applyFill="1" applyAlignment="1">
      <alignment horizontal="center" vertical="center"/>
    </xf>
    <xf numFmtId="10" fontId="13" fillId="2" borderId="0" xfId="0" applyNumberFormat="1" applyFont="1" applyFill="1" applyAlignment="1">
      <alignment horizontal="right" vertical="center"/>
    </xf>
    <xf numFmtId="10" fontId="13" fillId="0" borderId="0" xfId="0" applyNumberFormat="1" applyFont="1" applyAlignment="1">
      <alignment horizontal="center" vertical="center"/>
    </xf>
    <xf numFmtId="0" fontId="14" fillId="6" borderId="1" xfId="0" applyFont="1" applyFill="1" applyBorder="1" applyAlignment="1">
      <alignment horizontal="right" vertical="top" wrapText="1" readingOrder="1"/>
    </xf>
    <xf numFmtId="0" fontId="15" fillId="0" borderId="0" xfId="0" applyFont="1"/>
    <xf numFmtId="164" fontId="7" fillId="8" borderId="0" xfId="0" applyNumberFormat="1" applyFont="1" applyFill="1" applyAlignment="1">
      <alignment vertical="center" wrapText="1"/>
    </xf>
    <xf numFmtId="4" fontId="16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horizontal="right" vertical="top" wrapText="1" readingOrder="1"/>
    </xf>
    <xf numFmtId="0" fontId="12" fillId="9" borderId="0" xfId="0" applyFont="1" applyFill="1" applyAlignment="1">
      <alignment vertical="center"/>
    </xf>
    <xf numFmtId="10" fontId="13" fillId="5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10" fontId="13" fillId="3" borderId="0" xfId="0" applyNumberFormat="1" applyFont="1" applyFill="1" applyAlignment="1">
      <alignment horizontal="center" vertical="center"/>
    </xf>
    <xf numFmtId="10" fontId="18" fillId="0" borderId="0" xfId="0" applyNumberFormat="1" applyFont="1"/>
    <xf numFmtId="165" fontId="18" fillId="0" borderId="0" xfId="0" applyNumberFormat="1" applyFont="1"/>
    <xf numFmtId="0" fontId="7" fillId="8" borderId="0" xfId="0" applyFont="1" applyFill="1" applyAlignment="1">
      <alignment vertical="center"/>
    </xf>
    <xf numFmtId="0" fontId="19" fillId="7" borderId="0" xfId="0" applyFont="1" applyFill="1" applyAlignment="1">
      <alignment vertical="center"/>
    </xf>
    <xf numFmtId="0" fontId="20" fillId="0" borderId="0" xfId="0" applyFont="1"/>
    <xf numFmtId="0" fontId="7" fillId="0" borderId="2" xfId="0" applyFont="1" applyBorder="1" applyAlignment="1">
      <alignment vertical="center" wrapText="1"/>
    </xf>
    <xf numFmtId="10" fontId="21" fillId="0" borderId="2" xfId="0" applyNumberFormat="1" applyFont="1" applyBorder="1" applyAlignment="1">
      <alignment horizontal="center" vertical="center"/>
    </xf>
    <xf numFmtId="10" fontId="22" fillId="0" borderId="2" xfId="0" applyNumberFormat="1" applyFont="1" applyBorder="1" applyAlignment="1">
      <alignment horizontal="center" vertical="center"/>
    </xf>
    <xf numFmtId="10" fontId="22" fillId="3" borderId="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10" fontId="23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8" fillId="0" borderId="3" xfId="0" applyFont="1" applyBorder="1"/>
    <xf numFmtId="0" fontId="26" fillId="0" borderId="3" xfId="0" applyFont="1" applyBorder="1"/>
    <xf numFmtId="0" fontId="10" fillId="0" borderId="3" xfId="0" applyFont="1" applyBorder="1"/>
    <xf numFmtId="0" fontId="10" fillId="3" borderId="0" xfId="0" applyFont="1" applyFill="1"/>
    <xf numFmtId="0" fontId="6" fillId="0" borderId="0" xfId="0" applyFont="1"/>
    <xf numFmtId="4" fontId="16" fillId="0" borderId="0" xfId="0" applyNumberFormat="1" applyFont="1" applyAlignment="1">
      <alignment horizontal="right" vertical="top" wrapText="1" readingOrder="1"/>
    </xf>
    <xf numFmtId="4" fontId="14" fillId="0" borderId="1" xfId="0" applyNumberFormat="1" applyFont="1" applyBorder="1" applyAlignment="1">
      <alignment horizontal="right" vertical="top" wrapText="1" readingOrder="1"/>
    </xf>
    <xf numFmtId="4" fontId="11" fillId="13" borderId="1" xfId="0" applyNumberFormat="1" applyFont="1" applyFill="1" applyBorder="1" applyAlignment="1">
      <alignment horizontal="right" vertical="top" wrapText="1" readingOrder="1"/>
    </xf>
    <xf numFmtId="4" fontId="11" fillId="13" borderId="0" xfId="0" applyNumberFormat="1" applyFont="1" applyFill="1" applyAlignment="1">
      <alignment horizontal="right" vertical="top" wrapText="1" readingOrder="1"/>
    </xf>
    <xf numFmtId="4" fontId="11" fillId="0" borderId="0" xfId="0" applyNumberFormat="1" applyFont="1" applyAlignment="1">
      <alignment horizontal="right" vertical="top" wrapText="1" readingOrder="1"/>
    </xf>
    <xf numFmtId="0" fontId="7" fillId="2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left" vertical="center"/>
    </xf>
    <xf numFmtId="0" fontId="25" fillId="0" borderId="0" xfId="0" applyFont="1"/>
    <xf numFmtId="0" fontId="24" fillId="11" borderId="0" xfId="0" applyFont="1" applyFill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0" fillId="0" borderId="0" xfId="0"/>
    <xf numFmtId="0" fontId="24" fillId="12" borderId="0" xfId="0" applyFont="1" applyFill="1" applyAlignment="1">
      <alignment horizontal="left" vertical="center"/>
    </xf>
    <xf numFmtId="0" fontId="27" fillId="0" borderId="0" xfId="0" applyFont="1" applyAlignment="1">
      <alignment horizontal="right" vertical="top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5">
    <dxf>
      <font>
        <b/>
        <color rgb="FF002060"/>
      </font>
      <fill>
        <patternFill patternType="none"/>
      </fill>
    </dxf>
    <dxf>
      <font>
        <b/>
      </font>
      <fill>
        <patternFill patternType="solid">
          <fgColor theme="8"/>
          <bgColor theme="8"/>
        </patternFill>
      </fill>
    </dxf>
    <dxf>
      <font>
        <i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 /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F4-4F80-9203-21B8A7AB3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[1]Exemplo!$B$4:$H$5</c:f>
              <c:multiLvlStrCache>
                <c:ptCount val="7"/>
                <c:lvl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[1]Exemplo!$B$10:$H$10</c:f>
              <c:numCache>
                <c:formatCode>0.00%</c:formatCode>
                <c:ptCount val="7"/>
                <c:pt idx="0">
                  <c:v>0</c:v>
                </c:pt>
                <c:pt idx="1">
                  <c:v>0.12753460735553102</c:v>
                </c:pt>
                <c:pt idx="2">
                  <c:v>0.23061303043834891</c:v>
                </c:pt>
                <c:pt idx="3">
                  <c:v>0.44862425472207135</c:v>
                </c:pt>
                <c:pt idx="4">
                  <c:v>0.52333596393598314</c:v>
                </c:pt>
                <c:pt idx="5">
                  <c:v>0.55745510444413227</c:v>
                </c:pt>
                <c:pt idx="6">
                  <c:v>0.75950479366301948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F4-4F80-9203-21B8A7AB3F95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F4-4F80-9203-21B8A7AB3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[1]Exemplo!$B$4:$H$5</c:f>
              <c:multiLvlStrCache>
                <c:ptCount val="7"/>
                <c:lvl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[1]Exemplo!$B$7:$H$7</c:f>
              <c:numCache>
                <c:formatCode>0.00%</c:formatCode>
                <c:ptCount val="7"/>
                <c:pt idx="0">
                  <c:v>0</c:v>
                </c:pt>
                <c:pt idx="1">
                  <c:v>8.9834761278484665E-2</c:v>
                </c:pt>
                <c:pt idx="2">
                  <c:v>0.27440669579163668</c:v>
                </c:pt>
                <c:pt idx="3">
                  <c:v>0.37990100059916743</c:v>
                </c:pt>
                <c:pt idx="4">
                  <c:v>0.43088258730796913</c:v>
                </c:pt>
                <c:pt idx="5">
                  <c:v>0.58590886376625484</c:v>
                </c:pt>
                <c:pt idx="6">
                  <c:v>0.82964363220223647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F4-4F80-9203-21B8A7AB3F9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F4-4F80-9203-21B8A7AB3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[1]Exemplo!$B$4:$H$5</c:f>
              <c:multiLvlStrCache>
                <c:ptCount val="7"/>
                <c:lvl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[1]Exemplo!$B$14:$H$14</c:f>
              <c:numCache>
                <c:formatCode>0.00%</c:formatCode>
                <c:ptCount val="7"/>
                <c:pt idx="0">
                  <c:v>0</c:v>
                </c:pt>
                <c:pt idx="1">
                  <c:v>5.5669753382432186E-2</c:v>
                </c:pt>
                <c:pt idx="2">
                  <c:v>0.26801128761102788</c:v>
                </c:pt>
                <c:pt idx="3">
                  <c:v>0.51982913165250744</c:v>
                </c:pt>
                <c:pt idx="4">
                  <c:v>0.57458443746047627</c:v>
                </c:pt>
                <c:pt idx="5">
                  <c:v>1.0210769186174598</c:v>
                </c:pt>
                <c:pt idx="6">
                  <c:v>1.0762161227697336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F4-4F80-9203-21B8A7AB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10"/>
        <c:axId val="1944579711"/>
        <c:axId val="1652595311"/>
      </c:barChart>
      <c:catAx>
        <c:axId val="19445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52595311"/>
        <c:crosses val="autoZero"/>
        <c:auto val="1"/>
        <c:lblAlgn val="ctr"/>
        <c:lblOffset val="100"/>
        <c:noMultiLvlLbl val="0"/>
      </c:catAx>
      <c:valAx>
        <c:axId val="16525953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4457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</xdr:colOff>
      <xdr:row>30</xdr:row>
      <xdr:rowOff>57150</xdr:rowOff>
    </xdr:from>
    <xdr:ext cx="342900" cy="2409825"/>
    <xdr:sp macro="" textlink="">
      <xdr:nvSpPr>
        <xdr:cNvPr id="2" name="Shape 104">
          <a:extLst>
            <a:ext uri="{FF2B5EF4-FFF2-40B4-BE49-F238E27FC236}">
              <a16:creationId xmlns:a16="http://schemas.microsoft.com/office/drawing/2014/main" id="{102509DD-BE56-4CCA-90C2-90FA37F320FE}"/>
            </a:ext>
          </a:extLst>
        </xdr:cNvPr>
        <xdr:cNvSpPr txBox="1"/>
      </xdr:nvSpPr>
      <xdr:spPr>
        <a:xfrm rot="-5400000">
          <a:off x="7005637" y="9882188"/>
          <a:ext cx="24098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50"/>
            <a:buFont typeface="Montserrat"/>
            <a:buNone/>
          </a:pPr>
          <a:r>
            <a:rPr lang="en-US" sz="1250" b="1">
              <a:solidFill>
                <a:schemeClr val="lt1"/>
              </a:solidFill>
              <a:latin typeface="Montserrat"/>
              <a:ea typeface="Montserrat"/>
              <a:cs typeface="Montserrat"/>
              <a:sym typeface="Montserrat"/>
            </a:rPr>
            <a:t>Despesa Total c/ Pessoal</a:t>
          </a:r>
          <a:endParaRPr sz="1400"/>
        </a:p>
      </xdr:txBody>
    </xdr:sp>
    <xdr:clientData fLocksWithSheet="0"/>
  </xdr:oneCellAnchor>
  <xdr:oneCellAnchor>
    <xdr:from>
      <xdr:col>11</xdr:col>
      <xdr:colOff>685800</xdr:colOff>
      <xdr:row>30</xdr:row>
      <xdr:rowOff>19050</xdr:rowOff>
    </xdr:from>
    <xdr:ext cx="352425" cy="3295650"/>
    <xdr:sp macro="" textlink="">
      <xdr:nvSpPr>
        <xdr:cNvPr id="8" name="Shape 108">
          <a:extLst>
            <a:ext uri="{FF2B5EF4-FFF2-40B4-BE49-F238E27FC236}">
              <a16:creationId xmlns:a16="http://schemas.microsoft.com/office/drawing/2014/main" id="{3B1A2F3F-8E29-4DD1-A8A6-E603D293E1B3}"/>
            </a:ext>
          </a:extLst>
        </xdr:cNvPr>
        <xdr:cNvSpPr txBox="1"/>
      </xdr:nvSpPr>
      <xdr:spPr>
        <a:xfrm rot="-5400000">
          <a:off x="12320588" y="10282237"/>
          <a:ext cx="3295650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Arial Black"/>
              <a:ea typeface="Arial Black"/>
              <a:cs typeface="Arial Black"/>
              <a:sym typeface="Arial Black"/>
            </a:rPr>
            <a:t>RREO - Transferências FUNDEB</a:t>
          </a:r>
          <a:endParaRPr sz="1400"/>
        </a:p>
      </xdr:txBody>
    </xdr:sp>
    <xdr:clientData fLocksWithSheet="0"/>
  </xdr:oneCellAnchor>
  <xdr:oneCellAnchor>
    <xdr:from>
      <xdr:col>10</xdr:col>
      <xdr:colOff>1228725</xdr:colOff>
      <xdr:row>32</xdr:row>
      <xdr:rowOff>85725</xdr:rowOff>
    </xdr:from>
    <xdr:ext cx="600075" cy="2667000"/>
    <xdr:sp macro="" textlink="">
      <xdr:nvSpPr>
        <xdr:cNvPr id="9" name="Shape 109">
          <a:extLst>
            <a:ext uri="{FF2B5EF4-FFF2-40B4-BE49-F238E27FC236}">
              <a16:creationId xmlns:a16="http://schemas.microsoft.com/office/drawing/2014/main" id="{F7501680-0696-4075-8C5C-BA1A4B790D51}"/>
            </a:ext>
          </a:extLst>
        </xdr:cNvPr>
        <xdr:cNvSpPr txBox="1"/>
      </xdr:nvSpPr>
      <xdr:spPr>
        <a:xfrm rot="-5400000">
          <a:off x="12758738" y="10501312"/>
          <a:ext cx="266700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Arial Black"/>
              <a:ea typeface="Arial Black"/>
              <a:cs typeface="Arial Black"/>
              <a:sym typeface="Arial Black"/>
            </a:rPr>
            <a:t>RREO - Receita Corrente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Arial Black"/>
              <a:ea typeface="Arial Black"/>
              <a:cs typeface="Arial Black"/>
              <a:sym typeface="Arial Black"/>
            </a:rPr>
            <a:t>Líquida Ajustada</a:t>
          </a:r>
          <a:endParaRPr sz="1400"/>
        </a:p>
      </xdr:txBody>
    </xdr:sp>
    <xdr:clientData fLocksWithSheet="0"/>
  </xdr:oneCellAnchor>
  <xdr:oneCellAnchor>
    <xdr:from>
      <xdr:col>10</xdr:col>
      <xdr:colOff>504825</xdr:colOff>
      <xdr:row>33</xdr:row>
      <xdr:rowOff>180975</xdr:rowOff>
    </xdr:from>
    <xdr:ext cx="600075" cy="2247900"/>
    <xdr:sp macro="" textlink="">
      <xdr:nvSpPr>
        <xdr:cNvPr id="10" name="Shape 110">
          <a:extLst>
            <a:ext uri="{FF2B5EF4-FFF2-40B4-BE49-F238E27FC236}">
              <a16:creationId xmlns:a16="http://schemas.microsoft.com/office/drawing/2014/main" id="{A1070EBF-144E-402B-8C82-A8D25E2B53C3}"/>
            </a:ext>
          </a:extLst>
        </xdr:cNvPr>
        <xdr:cNvSpPr txBox="1"/>
      </xdr:nvSpPr>
      <xdr:spPr>
        <a:xfrm rot="-5400000">
          <a:off x="12873038" y="10682287"/>
          <a:ext cx="224790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Arial Black"/>
              <a:ea typeface="Arial Black"/>
              <a:cs typeface="Arial Black"/>
              <a:sym typeface="Arial Black"/>
            </a:rPr>
            <a:t>RGF - Despesa Total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Arial Black"/>
              <a:ea typeface="Arial Black"/>
              <a:cs typeface="Arial Black"/>
              <a:sym typeface="Arial Black"/>
            </a:rPr>
            <a:t>com Pessoal</a:t>
          </a:r>
          <a:endParaRPr sz="1400"/>
        </a:p>
      </xdr:txBody>
    </xdr:sp>
    <xdr:clientData fLocksWithSheet="0"/>
  </xdr:oneCellAnchor>
  <xdr:twoCellAnchor>
    <xdr:from>
      <xdr:col>0</xdr:col>
      <xdr:colOff>63501</xdr:colOff>
      <xdr:row>21</xdr:row>
      <xdr:rowOff>125939</xdr:rowOff>
    </xdr:from>
    <xdr:to>
      <xdr:col>6</xdr:col>
      <xdr:colOff>603250</xdr:colOff>
      <xdr:row>43</xdr:row>
      <xdr:rowOff>11906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AD9C0FD-0AFD-46BE-A8EF-3F4B6130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0.9463</cdr:x>
      <cdr:y>0.29355</cdr:y>
    </cdr:from>
    <cdr:to>
      <cdr:x>0.97077</cdr:x>
      <cdr:y>0.83664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1F5B350-F7E7-CBC7-DA13-8E61A50179FE}"/>
            </a:ext>
          </a:extLst>
        </cdr:cNvPr>
        <cdr:cNvSpPr txBox="1"/>
      </cdr:nvSpPr>
      <cdr:spPr>
        <a:xfrm xmlns:a="http://schemas.openxmlformats.org/drawingml/2006/main" rot="16200000">
          <a:off x="9220027" y="3466645"/>
          <a:ext cx="3466017" cy="2796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 b="1" kern="120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RREO - Transferências FUNDEB</a:t>
          </a:r>
        </a:p>
      </cdr:txBody>
    </cdr:sp>
  </cdr:relSizeAnchor>
  <cdr:relSizeAnchor xmlns:cdr="http://schemas.openxmlformats.org/drawingml/2006/chartDrawing">
    <cdr:from>
      <cdr:x>0.86417</cdr:x>
      <cdr:y>0.28661</cdr:y>
    </cdr:from>
    <cdr:to>
      <cdr:x>0.89349</cdr:x>
      <cdr:y>0.83654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FE3B19C1-5DC5-F191-A42A-FBD7DACBACD8}"/>
            </a:ext>
          </a:extLst>
        </cdr:cNvPr>
        <cdr:cNvSpPr txBox="1"/>
      </cdr:nvSpPr>
      <cdr:spPr>
        <a:xfrm xmlns:a="http://schemas.openxmlformats.org/drawingml/2006/main" rot="16200000">
          <a:off x="8659018" y="2670177"/>
          <a:ext cx="2778917" cy="3352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kern="1200">
              <a:solidFill>
                <a:schemeClr val="bg1"/>
              </a:solidFill>
              <a:latin typeface="Arial Black" panose="020B0A04020102020204" pitchFamily="34" charset="0"/>
            </a:rPr>
            <a:t>RGF - Despesa Total com Pessoal</a:t>
          </a:r>
        </a:p>
      </cdr:txBody>
    </cdr:sp>
  </cdr:relSizeAnchor>
  <cdr:relSizeAnchor xmlns:cdr="http://schemas.openxmlformats.org/drawingml/2006/chartDrawing">
    <cdr:from>
      <cdr:x>0.90499</cdr:x>
      <cdr:y>0.28575</cdr:y>
    </cdr:from>
    <cdr:to>
      <cdr:x>0.9343</cdr:x>
      <cdr:y>0.83567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2AA436CA-D6F9-EBB8-2178-37E531C17CE8}"/>
            </a:ext>
          </a:extLst>
        </cdr:cNvPr>
        <cdr:cNvSpPr txBox="1"/>
      </cdr:nvSpPr>
      <cdr:spPr>
        <a:xfrm xmlns:a="http://schemas.openxmlformats.org/drawingml/2006/main" rot="16200000">
          <a:off x="8753816" y="3410953"/>
          <a:ext cx="3509621" cy="335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kern="1200">
              <a:solidFill>
                <a:schemeClr val="bg1"/>
              </a:solidFill>
              <a:latin typeface="Arial Black" panose="020B0A04020102020204" pitchFamily="34" charset="0"/>
            </a:rPr>
            <a:t>RREO - Receita Corrente Líquida Ajustada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G:/Meu%20Drive/Projetos/APP/Municipais/PAINEL_ANALISEPSPN.xlsx" TargetMode="External" /><Relationship Id="rId1" Type="http://schemas.openxmlformats.org/officeDocument/2006/relationships/externalLinkPath" Target="file:///G:/Meu%20Drive/Projetos/APP/Municipais/PAINEL_ANALISEPSPN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mplo"/>
      <sheetName val="APU_CALIFORNIA$$"/>
      <sheetName val="APU_CALIFORNIA2024"/>
      <sheetName val="APU_CALIFORNIA2025"/>
      <sheetName val="APU_CALIFORNIA2026"/>
      <sheetName val="APU_CRUZMALTINA"/>
      <sheetName val="APU_FAXINAL$$"/>
      <sheetName val="APU_FAXINAL2024"/>
      <sheetName val="APU_FAXINAL2025"/>
      <sheetName val="APU_FAXINAL2026"/>
      <sheetName val="APU_KALORE_2025"/>
      <sheetName val="APU_MARILANDIASUL$$"/>
      <sheetName val="APU_MARILANDIASUL2025"/>
      <sheetName val="APU_MAUA$$"/>
      <sheetName val="APU_MAUA2025"/>
      <sheetName val="APU_MAUA_FUNDEB2025"/>
      <sheetName val="APU_RIOBOM$$"/>
      <sheetName val="APU_RIOBOM2025"/>
      <sheetName val="APU_RIOBOMPROPOSTA"/>
      <sheetName val="ARA_ARAPONGAS$$"/>
      <sheetName val="ARA_ARAPONGAS2024"/>
      <sheetName val="CAMB_AND2023"/>
      <sheetName val="CAMB_ANDIRÁ$$"/>
      <sheetName val="CAMB_BARRAJACARÉ$$"/>
      <sheetName val="CAMB_BARRAJACARÉ2022"/>
      <sheetName val="CAMB_BARRAJACARÉ2023"/>
      <sheetName val="CAMB_BARRAJACARÉ2024"/>
      <sheetName val="CAMPOM_BARBOSAFERRAZ$$"/>
      <sheetName val="CAMPOM_BARBOSAFERRAZ_2024"/>
      <sheetName val="CAM_ANDIRÁ2024"/>
      <sheetName val="CAM_CAMBARA$$"/>
      <sheetName val="CAM_CAMBARA2022"/>
      <sheetName val="CAM_CAMBARA2023"/>
      <sheetName val="CAM_CAMBARA2024"/>
      <sheetName val="CIA_Jussara$$"/>
      <sheetName val="CIA_Jussara_2026"/>
      <sheetName val="CIA_SaoCarlosIvai$$"/>
      <sheetName val="CIA_SaoCarlosIvai_TabVenc2026"/>
      <sheetName val="CIA_TAPEJARA_Painel$$"/>
      <sheetName val="CIA_TAPEJARA_TabVenc2024_3N18C"/>
      <sheetName val="CIA_TAPEJARA_TABVENC2026"/>
      <sheetName val="COMPARATIVO"/>
      <sheetName val="COMPENSATORIA2024_Municipios"/>
      <sheetName val="CORN_BAND2022"/>
      <sheetName val="CORN_BAND2023"/>
      <sheetName val="CORN_BAND2024_20H4NC15"/>
      <sheetName val="FLORIDA_Painel$$"/>
      <sheetName val="FLORIDA_TabVenc2024_3NC15"/>
      <sheetName val="FUNDEB2024_Municipios"/>
      <sheetName val="GrandesRios_Painel2023"/>
      <sheetName val="GrandesRios_TabVenc2023"/>
      <sheetName val="GUARAP_BVSAOROQUE$$"/>
      <sheetName val="GUARAP_BVSAOROQUE2024"/>
      <sheetName val="InacioMartins_TabVenc2022"/>
      <sheetName val="Iporã_TabVenc2023"/>
      <sheetName val="ITAMBARACA_Painel$$"/>
      <sheetName val="ITAMBARACA_TabVenc2023"/>
      <sheetName val="ITAMBARACA_TabVenc2024"/>
      <sheetName val="Ivaipora_Painel2023"/>
      <sheetName val="Ivaipora_TabVenc2023"/>
      <sheetName val="IVATE_Painel$$"/>
      <sheetName val="IVATE_TabVenc2025"/>
      <sheetName val="Jacarezinho_Painel2023"/>
      <sheetName val="Jacarezinho_TabVenc2022"/>
      <sheetName val="Jacarezinho_TabVenc2023"/>
      <sheetName val="JAC_CARLOPOLIS$$"/>
      <sheetName val="JAC_CARLOPOLIS2023_20H"/>
      <sheetName val="JAC_CARLOPOLIS2023_35H"/>
      <sheetName val="JAC_CONSMAIRINK$$"/>
      <sheetName val="JAC_CONSMAIRINK2024_4NC12"/>
      <sheetName val="JAGUAPITA_Painel$$"/>
      <sheetName val="JAGUAPITÃ_TabVenc2024_Educ"/>
      <sheetName val="JAGUAPITÃ_TabVenc2024_Mag"/>
      <sheetName val="JundiaSul2022"/>
      <sheetName val="LOND_BVPARAÍSO$$"/>
      <sheetName val="LOND_BVPARAÍSO2023"/>
      <sheetName val="Mallet2022"/>
      <sheetName val="Mallet2023"/>
      <sheetName val="Mallet2024"/>
      <sheetName val="MCRondon_Painel$$"/>
      <sheetName val="MCRondon_TabVenc2023"/>
      <sheetName val="MCRondon_TabVenc2024"/>
      <sheetName val="NOVASTABARBARA_Painel$$2024"/>
      <sheetName val="PATOBRANCO_Painel$$"/>
      <sheetName val="PATOBRANCO_TabVenc2024"/>
      <sheetName val="PRADOFERREIRA_Painel$$"/>
      <sheetName val="PRADOFERREIRA_TabVenc2024"/>
      <sheetName val="Prudentopolis_PnlFinanc2023"/>
      <sheetName val="RanchoAlegre2023_Painel"/>
      <sheetName val="RibeiraoPinhal2022"/>
      <sheetName val="RIBPINHAL_Painel$$2024"/>
      <sheetName val="RIBPINHAL_TabVenc2024_20h"/>
      <sheetName val="RIBPINHAL_TabVenc2024_25h"/>
      <sheetName val="RioBrancoIvai_PnlFinanc"/>
      <sheetName val="RioBrancoIvai_TabVenc2023"/>
      <sheetName val="SAParaiso"/>
      <sheetName val="SAParaiso2023"/>
      <sheetName val="SAParaiso_Painel"/>
      <sheetName val="Sapopema2023_Painel"/>
      <sheetName val="Sertaneja_2023"/>
      <sheetName val="Sertaneja_2024"/>
      <sheetName val="SERTANEJA_Painel$$2024"/>
      <sheetName val="STªMARIANA_Painel$$2024"/>
      <sheetName val="STªMARIANA_TabVenc2024"/>
      <sheetName val="SãoJPatrocinio_Painel$$2025"/>
      <sheetName val="SãoJPatrocinio_TabVenc2023"/>
      <sheetName val="SãoJPatrocinio_TabVenc2024_40h"/>
      <sheetName val="SãoJPatrocinio_TabVenc2024_PCCR"/>
      <sheetName val="Tamarana_2023"/>
      <sheetName val="TERRABOA_Painel$$"/>
      <sheetName val="TerraRoxa_2023"/>
      <sheetName val="TerraRoxa_Financ"/>
      <sheetName val="TerraRoxa_Painel"/>
      <sheetName val="UMU_ALTONIA$$"/>
      <sheetName val="UMU_ALTONIA2022"/>
      <sheetName val="UMU_ALTONIA2025"/>
      <sheetName val="UMU_ALTONIA2026"/>
      <sheetName val="UMU_ALTOPARAISO$$"/>
      <sheetName val="UMU_ALTOPARAISO2024_20h"/>
      <sheetName val="UMU_ALTOPARAISO2025_20h"/>
      <sheetName val="UMU_ALTOPARAISO2025_20h (2)"/>
      <sheetName val="UMU_ALTOPIQUIRI$$"/>
      <sheetName val="UMU_ALTOPIQUIRI2022"/>
      <sheetName val="UMU_ALTOPIQUIRI2023"/>
      <sheetName val="UMU_ALTOPIQUIRI2024"/>
      <sheetName val="UMU_ALTOPIQUIRI2025_20h"/>
      <sheetName val="UMU_ALTOPIQUIRI2025_40h"/>
      <sheetName val="UMU_CAFEZALDOSUL$$"/>
      <sheetName val="UMU_CAFEZALDOSUL2026"/>
      <sheetName val="UMU_CAFEZALDOSUL2025"/>
      <sheetName val="UMU_CRUZEIROOESTE$$"/>
      <sheetName val="UMU_CRUZEIROOESTE2023"/>
      <sheetName val="UMU_CRUZEIROOESTE2024"/>
      <sheetName val="UMU_CRUZEIROOESTE2025"/>
      <sheetName val="UMU_CRUZEIROOESTE_FUNDEB2025"/>
      <sheetName val="UMU_ICARAIMA$$"/>
      <sheetName val="UMU_ICARAIMA2026"/>
      <sheetName val="UMU_ICARAIMA2025"/>
      <sheetName val="UMU_IPORA$$"/>
      <sheetName val="UMU_IPORA2025"/>
      <sheetName val="UMU_IPORA2026"/>
      <sheetName val="UMU_MariaHelena$$"/>
      <sheetName val="UMU_MariaHelena2025"/>
      <sheetName val="UMU_MariaHelena2026"/>
      <sheetName val="UMU_MARILUZ$$"/>
      <sheetName val="UMU_MARILUZ2024_EdInf"/>
      <sheetName val="UMU_MARILUZ2024_Prof"/>
      <sheetName val="UMU_MARILUZ2026"/>
      <sheetName val="UMU_PEROBAL2025"/>
      <sheetName val="UMU_PEROBAL$$"/>
      <sheetName val="UMU_PEROBAL2026"/>
      <sheetName val="Urai_Painel2023"/>
      <sheetName val="Urai_TabVenc2023"/>
    </sheetNames>
    <sheetDataSet>
      <sheetData sheetId="0">
        <row r="4">
          <cell r="B4">
            <v>2019</v>
          </cell>
          <cell r="C4">
            <v>2020</v>
          </cell>
          <cell r="D4">
            <v>2021</v>
          </cell>
          <cell r="E4">
            <v>2022</v>
          </cell>
          <cell r="F4">
            <v>2023</v>
          </cell>
          <cell r="G4">
            <v>2024</v>
          </cell>
          <cell r="H4">
            <v>2025</v>
          </cell>
        </row>
        <row r="7">
          <cell r="B7">
            <v>0</v>
          </cell>
          <cell r="C7">
            <v>8.9834761278484665E-2</v>
          </cell>
          <cell r="D7">
            <v>0.27440669579163668</v>
          </cell>
          <cell r="E7">
            <v>0.37990100059916743</v>
          </cell>
          <cell r="F7">
            <v>0.43088258730796913</v>
          </cell>
          <cell r="G7">
            <v>0.58590886376625484</v>
          </cell>
          <cell r="H7">
            <v>0.82964363220223647</v>
          </cell>
        </row>
        <row r="10">
          <cell r="B10">
            <v>0</v>
          </cell>
          <cell r="C10">
            <v>0.12753460735553102</v>
          </cell>
          <cell r="D10">
            <v>0.23061303043834891</v>
          </cell>
          <cell r="E10">
            <v>0.44862425472207135</v>
          </cell>
          <cell r="F10">
            <v>0.52333596393598314</v>
          </cell>
          <cell r="G10">
            <v>0.55745510444413227</v>
          </cell>
          <cell r="H10">
            <v>0.75950479366301948</v>
          </cell>
        </row>
        <row r="14">
          <cell r="B14">
            <v>0</v>
          </cell>
          <cell r="C14">
            <v>5.5669753382432186E-2</v>
          </cell>
          <cell r="D14">
            <v>0.26801128761102788</v>
          </cell>
          <cell r="E14">
            <v>0.51982913165250744</v>
          </cell>
          <cell r="F14">
            <v>0.57458443746047627</v>
          </cell>
          <cell r="G14">
            <v>1.0210769186174598</v>
          </cell>
          <cell r="H14">
            <v>1.0762161227697336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0B29-9995-4474-99DF-2631F600C820}">
  <dimension ref="A1:AC1000"/>
  <sheetViews>
    <sheetView tabSelected="1" workbookViewId="0">
      <selection activeCell="H23" sqref="H23"/>
    </sheetView>
  </sheetViews>
  <sheetFormatPr defaultColWidth="14.390625" defaultRowHeight="15" x14ac:dyDescent="0.2"/>
  <cols>
    <col min="1" max="1" width="48.15625" bestFit="1" customWidth="1"/>
    <col min="2" max="6" width="18.0234375" customWidth="1"/>
    <col min="7" max="7" width="19.1015625" customWidth="1"/>
    <col min="8" max="8" width="18.0234375" customWidth="1"/>
    <col min="9" max="9" width="13.98828125" style="4" bestFit="1" customWidth="1"/>
    <col min="10" max="10" width="8.609375" style="4" bestFit="1" customWidth="1"/>
    <col min="11" max="11" width="9.01171875" customWidth="1"/>
    <col min="12" max="12" width="20.71484375" hidden="1" customWidth="1"/>
    <col min="13" max="14" width="18.29296875" hidden="1" customWidth="1"/>
    <col min="15" max="22" width="14.2578125" hidden="1" customWidth="1"/>
    <col min="23" max="29" width="14.2578125" customWidth="1"/>
  </cols>
  <sheetData>
    <row r="1" spans="1:29" ht="37.5" customHeight="1" x14ac:dyDescent="0.2">
      <c r="A1" s="55" t="s">
        <v>0</v>
      </c>
      <c r="B1" s="56"/>
      <c r="C1" s="56"/>
      <c r="D1" s="56"/>
      <c r="E1" s="56"/>
      <c r="F1" s="56"/>
      <c r="G1" s="56"/>
      <c r="H1" s="56"/>
      <c r="I1" s="1"/>
      <c r="J1" s="1"/>
    </row>
    <row r="2" spans="1:29" ht="37.5" customHeight="1" x14ac:dyDescent="0.2">
      <c r="A2" s="57" t="s">
        <v>1</v>
      </c>
      <c r="B2" s="56"/>
      <c r="C2" s="56"/>
      <c r="D2" s="56"/>
      <c r="E2" s="56"/>
      <c r="F2" s="56"/>
      <c r="G2" s="56"/>
      <c r="H2" s="56"/>
      <c r="I2" s="1"/>
      <c r="J2" s="1"/>
    </row>
    <row r="3" spans="1:29" ht="5.25" customHeight="1" x14ac:dyDescent="0.2">
      <c r="A3" s="2"/>
      <c r="B3" s="3"/>
      <c r="C3" s="3"/>
      <c r="D3" s="3"/>
      <c r="E3" s="3"/>
      <c r="F3" s="3"/>
    </row>
    <row r="4" spans="1:29" ht="10.5" customHeight="1" x14ac:dyDescent="0.25">
      <c r="A4" s="5"/>
      <c r="B4" s="58">
        <v>2019</v>
      </c>
      <c r="C4" s="58">
        <v>2020</v>
      </c>
      <c r="D4" s="58">
        <v>2021</v>
      </c>
      <c r="E4" s="58">
        <v>2022</v>
      </c>
      <c r="F4" s="58">
        <v>2023</v>
      </c>
      <c r="G4" s="58">
        <v>2024</v>
      </c>
      <c r="H4" s="47">
        <v>2025</v>
      </c>
      <c r="I4" s="6"/>
      <c r="J4" s="6"/>
      <c r="L4" s="47" t="s">
        <v>2</v>
      </c>
      <c r="M4" s="47" t="s">
        <v>3</v>
      </c>
      <c r="N4" s="7"/>
    </row>
    <row r="5" spans="1:29" ht="18" customHeight="1" x14ac:dyDescent="0.25">
      <c r="A5" s="5"/>
      <c r="B5" s="59"/>
      <c r="C5" s="59"/>
      <c r="D5" s="59"/>
      <c r="E5" s="59"/>
      <c r="F5" s="59"/>
      <c r="G5" s="59"/>
      <c r="H5" s="47"/>
      <c r="I5" s="6"/>
      <c r="J5" s="6"/>
      <c r="L5" s="47"/>
      <c r="M5" s="47"/>
      <c r="N5" s="7"/>
    </row>
    <row r="6" spans="1:29" ht="23.1" customHeight="1" x14ac:dyDescent="0.2">
      <c r="A6" s="8" t="s">
        <v>4</v>
      </c>
      <c r="B6" s="9">
        <v>32017058.420000002</v>
      </c>
      <c r="C6" s="9">
        <v>34893303.219999999</v>
      </c>
      <c r="D6" s="9">
        <v>40802753.630000003</v>
      </c>
      <c r="E6" s="9">
        <v>44180370.950000003</v>
      </c>
      <c r="F6" s="9">
        <v>45812651.390000001</v>
      </c>
      <c r="G6" s="9">
        <v>50776136.740000002</v>
      </c>
      <c r="H6" s="9">
        <v>58579807.060000002</v>
      </c>
      <c r="I6" s="10"/>
      <c r="J6" s="10"/>
      <c r="L6" s="9">
        <f>SUM(O6:T6)</f>
        <v>26784179.320000004</v>
      </c>
      <c r="M6" s="9">
        <f>SUM(O7:T7)</f>
        <v>29339329.949999996</v>
      </c>
      <c r="N6" s="9"/>
      <c r="O6" s="11">
        <v>4556828.78</v>
      </c>
      <c r="P6" s="11">
        <v>4417947.6100000003</v>
      </c>
      <c r="Q6" s="11">
        <v>4084810.62</v>
      </c>
      <c r="R6" s="11">
        <v>4073950.93</v>
      </c>
      <c r="S6" s="11">
        <v>4300573.4400000004</v>
      </c>
      <c r="T6" s="11">
        <v>5350067.9400000004</v>
      </c>
    </row>
    <row r="7" spans="1:29" ht="23.1" customHeight="1" x14ac:dyDescent="0.2">
      <c r="A7" s="12"/>
      <c r="B7" s="13">
        <v>0</v>
      </c>
      <c r="C7" s="13">
        <f t="shared" ref="C7:H7" si="0">(C6/$B$6)-1</f>
        <v>8.9834761278484665E-2</v>
      </c>
      <c r="D7" s="13">
        <f t="shared" si="0"/>
        <v>0.27440669579163668</v>
      </c>
      <c r="E7" s="13">
        <f t="shared" si="0"/>
        <v>0.37990100059916743</v>
      </c>
      <c r="F7" s="13">
        <f t="shared" si="0"/>
        <v>0.43088258730796913</v>
      </c>
      <c r="G7" s="13">
        <f t="shared" si="0"/>
        <v>0.58590886376625484</v>
      </c>
      <c r="H7" s="13">
        <f t="shared" si="0"/>
        <v>0.82964363220223647</v>
      </c>
      <c r="I7" s="14" t="s">
        <v>5</v>
      </c>
      <c r="J7" s="13">
        <f>H7/7</f>
        <v>0.11852051888603378</v>
      </c>
      <c r="L7" s="14" t="s">
        <v>6</v>
      </c>
      <c r="M7" s="13">
        <f>(M6/L6)-1</f>
        <v>9.5397756992017912E-2</v>
      </c>
      <c r="N7" s="15"/>
      <c r="O7" s="11">
        <v>4850512.3600000003</v>
      </c>
      <c r="P7" s="11">
        <v>4267910.0199999996</v>
      </c>
      <c r="Q7" s="11">
        <v>4572294.72</v>
      </c>
      <c r="R7" s="11">
        <v>5107379.0599999996</v>
      </c>
      <c r="S7" s="11">
        <v>4904356.8600000003</v>
      </c>
      <c r="T7" s="11">
        <v>5636876.9299999997</v>
      </c>
      <c r="U7" s="16"/>
      <c r="V7" s="17"/>
      <c r="W7" s="17"/>
      <c r="X7" s="17"/>
      <c r="Y7" s="17"/>
      <c r="Z7" s="17"/>
      <c r="AA7" s="17"/>
      <c r="AB7" s="17"/>
      <c r="AC7" s="17"/>
    </row>
    <row r="8" spans="1:29" ht="23.1" customHeight="1" x14ac:dyDescent="0.2">
      <c r="A8" s="12"/>
      <c r="B8" s="13" t="s">
        <v>6</v>
      </c>
      <c r="C8" s="13">
        <f t="shared" ref="C8:H8" si="1">(C6/B6)-1</f>
        <v>8.9834761278484665E-2</v>
      </c>
      <c r="D8" s="13">
        <f t="shared" si="1"/>
        <v>0.16935772382285808</v>
      </c>
      <c r="E8" s="13">
        <f t="shared" si="1"/>
        <v>8.2779151393268302E-2</v>
      </c>
      <c r="F8" s="13">
        <f t="shared" si="1"/>
        <v>3.6945829220114357E-2</v>
      </c>
      <c r="G8" s="13">
        <f t="shared" si="1"/>
        <v>0.10834311482533909</v>
      </c>
      <c r="H8" s="13">
        <f t="shared" si="1"/>
        <v>0.15368775218088793</v>
      </c>
      <c r="L8" s="9">
        <f>SUM(O9:T9)</f>
        <v>12309232.98</v>
      </c>
      <c r="M8" s="9">
        <f>SUM(O10:T10)</f>
        <v>14011703.580000002</v>
      </c>
      <c r="N8" s="9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23.1" customHeight="1" x14ac:dyDescent="0.2">
      <c r="A9" s="18" t="s">
        <v>7</v>
      </c>
      <c r="B9" s="9">
        <v>15411436.869999999</v>
      </c>
      <c r="C9" s="9">
        <v>17376928.420000002</v>
      </c>
      <c r="D9" s="9">
        <v>18965515.030000001</v>
      </c>
      <c r="E9" s="9">
        <v>22325381.25</v>
      </c>
      <c r="F9" s="9">
        <v>23476796.039999999</v>
      </c>
      <c r="G9" s="9">
        <v>24002621.02</v>
      </c>
      <c r="H9" s="9">
        <v>27116497.050000001</v>
      </c>
      <c r="I9" s="10"/>
      <c r="J9" s="10"/>
      <c r="L9" s="14" t="s">
        <v>6</v>
      </c>
      <c r="M9" s="13">
        <f>(M8/L8)-1</f>
        <v>0.13830842285349298</v>
      </c>
      <c r="N9" s="15"/>
      <c r="O9" s="19">
        <v>1961950.26</v>
      </c>
      <c r="P9" s="19">
        <v>1899531.9</v>
      </c>
      <c r="Q9" s="19">
        <v>1951530.54</v>
      </c>
      <c r="R9" s="19">
        <v>2146917.2400000002</v>
      </c>
      <c r="S9" s="19">
        <v>2148617.7400000002</v>
      </c>
      <c r="T9" s="19">
        <v>2200685.2999999998</v>
      </c>
      <c r="U9" s="20"/>
    </row>
    <row r="10" spans="1:29" ht="23.1" customHeight="1" x14ac:dyDescent="0.2">
      <c r="A10" s="21"/>
      <c r="B10" s="13">
        <v>0</v>
      </c>
      <c r="C10" s="13">
        <f t="shared" ref="C10:H10" si="2">(C9/$B$9)-1</f>
        <v>0.12753460735553102</v>
      </c>
      <c r="D10" s="13">
        <f t="shared" si="2"/>
        <v>0.23061303043834891</v>
      </c>
      <c r="E10" s="13">
        <f t="shared" si="2"/>
        <v>0.44862425472207135</v>
      </c>
      <c r="F10" s="13">
        <f t="shared" si="2"/>
        <v>0.52333596393598314</v>
      </c>
      <c r="G10" s="13">
        <f t="shared" si="2"/>
        <v>0.55745510444413227</v>
      </c>
      <c r="H10" s="13">
        <f t="shared" si="2"/>
        <v>0.75950479366301948</v>
      </c>
      <c r="I10" s="14" t="s">
        <v>8</v>
      </c>
      <c r="J10" s="13">
        <f>H10/7</f>
        <v>0.10850068480900278</v>
      </c>
      <c r="O10" s="19">
        <v>2416816.91</v>
      </c>
      <c r="P10" s="19">
        <v>2448938.62</v>
      </c>
      <c r="Q10" s="19">
        <v>2272068.7000000002</v>
      </c>
      <c r="R10" s="19">
        <v>2267406.7400000002</v>
      </c>
      <c r="S10" s="19">
        <v>2302282.64</v>
      </c>
      <c r="T10" s="19">
        <v>2304189.9700000002</v>
      </c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23.1" customHeight="1" x14ac:dyDescent="0.2">
      <c r="A11" s="21"/>
      <c r="B11" s="13" t="s">
        <v>6</v>
      </c>
      <c r="C11" s="13">
        <f t="shared" ref="C11:H11" si="3">(C9/B9)-1</f>
        <v>0.12753460735553102</v>
      </c>
      <c r="D11" s="13">
        <f t="shared" si="3"/>
        <v>9.1419298716314712E-2</v>
      </c>
      <c r="E11" s="13">
        <f t="shared" si="3"/>
        <v>0.17715660316555071</v>
      </c>
      <c r="F11" s="13">
        <f t="shared" si="3"/>
        <v>5.1574249823841178E-2</v>
      </c>
      <c r="G11" s="13">
        <f t="shared" si="3"/>
        <v>2.2397646557225981E-2</v>
      </c>
      <c r="H11" s="13">
        <f t="shared" si="3"/>
        <v>0.12973066680532042</v>
      </c>
      <c r="I11" s="22"/>
      <c r="J11" s="22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23.1" customHeight="1" x14ac:dyDescent="0.2">
      <c r="A12" s="23" t="s">
        <v>9</v>
      </c>
      <c r="B12" s="15">
        <f t="shared" ref="B12:H12" si="4">B9/B6</f>
        <v>0.48135080580585077</v>
      </c>
      <c r="C12" s="15">
        <f t="shared" si="4"/>
        <v>0.4980018174387103</v>
      </c>
      <c r="D12" s="15">
        <f t="shared" si="4"/>
        <v>0.46480968421836388</v>
      </c>
      <c r="E12" s="15">
        <f t="shared" si="4"/>
        <v>0.50532353554174947</v>
      </c>
      <c r="F12" s="15">
        <f t="shared" si="4"/>
        <v>0.51245224468987016</v>
      </c>
      <c r="G12" s="15">
        <f t="shared" si="4"/>
        <v>0.47271459707353858</v>
      </c>
      <c r="H12" s="15">
        <f t="shared" si="4"/>
        <v>0.46289836738837492</v>
      </c>
      <c r="I12" s="24"/>
      <c r="J12" s="24"/>
      <c r="L12" s="25"/>
      <c r="M12" s="26"/>
      <c r="N12" s="26"/>
    </row>
    <row r="13" spans="1:29" ht="23.1" customHeight="1" x14ac:dyDescent="0.2">
      <c r="A13" s="27" t="s">
        <v>10</v>
      </c>
      <c r="B13" s="9">
        <v>3643073.8</v>
      </c>
      <c r="C13" s="9">
        <v>3845882.82</v>
      </c>
      <c r="D13" s="9">
        <v>4619458.7</v>
      </c>
      <c r="E13" s="9">
        <v>5536849.6900000004</v>
      </c>
      <c r="F13" s="9">
        <v>5736327.3099999996</v>
      </c>
      <c r="G13" s="9">
        <v>7362932.3700000001</v>
      </c>
      <c r="H13" s="9">
        <v>7563808.5599999996</v>
      </c>
      <c r="I13" s="10"/>
      <c r="J13" s="10"/>
      <c r="K13" s="26"/>
    </row>
    <row r="14" spans="1:29" ht="23.1" customHeight="1" x14ac:dyDescent="0.2">
      <c r="A14" s="28"/>
      <c r="B14" s="13">
        <v>0</v>
      </c>
      <c r="C14" s="13">
        <f t="shared" ref="C14:H14" si="5">(C13/$B$13)-1</f>
        <v>5.5669753382432186E-2</v>
      </c>
      <c r="D14" s="13">
        <f t="shared" si="5"/>
        <v>0.26801128761102788</v>
      </c>
      <c r="E14" s="13">
        <f t="shared" si="5"/>
        <v>0.51982913165250744</v>
      </c>
      <c r="F14" s="13">
        <f t="shared" si="5"/>
        <v>0.57458443746047627</v>
      </c>
      <c r="G14" s="13">
        <f t="shared" si="5"/>
        <v>1.0210769186174598</v>
      </c>
      <c r="H14" s="13">
        <f t="shared" si="5"/>
        <v>1.0762161227697336</v>
      </c>
      <c r="I14" s="22"/>
      <c r="J14" s="2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ht="23.1" customHeight="1" x14ac:dyDescent="0.2">
      <c r="A15" s="28"/>
      <c r="B15" s="13" t="s">
        <v>6</v>
      </c>
      <c r="C15" s="13">
        <f t="shared" ref="C15:H15" si="6">(C13/B13)-1</f>
        <v>5.5669753382432186E-2</v>
      </c>
      <c r="D15" s="13">
        <f t="shared" si="6"/>
        <v>0.20114390276716754</v>
      </c>
      <c r="E15" s="13">
        <f t="shared" si="6"/>
        <v>0.19859274637524083</v>
      </c>
      <c r="F15" s="13">
        <f t="shared" si="6"/>
        <v>3.6027277453507978E-2</v>
      </c>
      <c r="G15" s="13">
        <f t="shared" si="6"/>
        <v>0.28356210726755071</v>
      </c>
      <c r="H15" s="13">
        <f t="shared" si="6"/>
        <v>2.7282090871629139E-2</v>
      </c>
      <c r="I15" s="22"/>
      <c r="J15" s="2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ht="75" customHeight="1" thickBot="1" x14ac:dyDescent="0.25">
      <c r="A16" s="30" t="s">
        <v>15</v>
      </c>
      <c r="B16" s="31">
        <v>0.25019999999999998</v>
      </c>
      <c r="C16" s="31">
        <v>0.26429999999999998</v>
      </c>
      <c r="D16" s="32">
        <v>0.24299999999999999</v>
      </c>
      <c r="E16" s="31">
        <v>0.25219999999999998</v>
      </c>
      <c r="F16" s="31">
        <v>0.26629999999999998</v>
      </c>
      <c r="G16" s="32">
        <v>0.26740000000000003</v>
      </c>
      <c r="H16" s="32"/>
      <c r="I16" s="33"/>
      <c r="J16" s="33"/>
    </row>
    <row r="17" spans="1:19" ht="3" customHeight="1" x14ac:dyDescent="0.2">
      <c r="A17" s="34"/>
      <c r="B17" s="35"/>
      <c r="C17" s="35"/>
      <c r="D17" s="35"/>
      <c r="E17" s="35"/>
      <c r="F17" s="35"/>
    </row>
    <row r="18" spans="1:19" ht="22.5" customHeight="1" x14ac:dyDescent="0.2">
      <c r="A18" s="48" t="s">
        <v>11</v>
      </c>
      <c r="B18" s="49"/>
      <c r="C18" s="36"/>
      <c r="D18" s="36"/>
      <c r="E18" s="36"/>
      <c r="F18" s="36"/>
    </row>
    <row r="19" spans="1:19" ht="22.5" customHeight="1" x14ac:dyDescent="0.2">
      <c r="A19" s="50" t="s">
        <v>12</v>
      </c>
      <c r="B19" s="49"/>
      <c r="C19" s="51" t="s">
        <v>13</v>
      </c>
      <c r="D19" s="52"/>
      <c r="E19" s="52"/>
      <c r="F19" s="52"/>
      <c r="G19" s="52"/>
      <c r="H19" s="52"/>
    </row>
    <row r="20" spans="1:19" ht="22.5" customHeight="1" x14ac:dyDescent="0.2">
      <c r="A20" s="53" t="s">
        <v>14</v>
      </c>
      <c r="B20" s="49"/>
      <c r="C20" s="54" t="s">
        <v>16</v>
      </c>
      <c r="D20" s="52"/>
      <c r="E20" s="52"/>
      <c r="F20" s="52"/>
      <c r="G20" s="52"/>
      <c r="H20" s="52"/>
    </row>
    <row r="21" spans="1:19" ht="3.75" customHeight="1" thickBot="1" x14ac:dyDescent="0.3">
      <c r="A21" s="37"/>
      <c r="B21" s="38"/>
      <c r="C21" s="38"/>
      <c r="D21" s="38"/>
      <c r="E21" s="38"/>
      <c r="F21" s="39"/>
      <c r="G21" s="39"/>
      <c r="H21" s="39"/>
      <c r="I21" s="40"/>
      <c r="J21" s="40"/>
    </row>
    <row r="22" spans="1:19" ht="23.25" customHeight="1" x14ac:dyDescent="0.25">
      <c r="A22" s="41"/>
      <c r="B22" s="41"/>
      <c r="C22" s="41"/>
      <c r="D22" s="41"/>
      <c r="E22" s="41"/>
      <c r="F22" s="41"/>
    </row>
    <row r="23" spans="1:19" ht="23.25" customHeight="1" x14ac:dyDescent="0.25">
      <c r="A23" s="41"/>
      <c r="B23" s="41"/>
      <c r="C23" s="41"/>
      <c r="D23" s="41"/>
      <c r="E23" s="41"/>
      <c r="F23" s="41"/>
      <c r="L23" s="19">
        <v>3846102.75</v>
      </c>
      <c r="M23" s="42">
        <v>4399282.67</v>
      </c>
      <c r="N23" s="42"/>
      <c r="O23" s="19">
        <v>4122674.79</v>
      </c>
      <c r="P23" s="19">
        <v>4225157.34</v>
      </c>
      <c r="Q23" s="19">
        <v>4190365.33</v>
      </c>
      <c r="R23" s="19">
        <v>4287459.97</v>
      </c>
      <c r="S23" s="43">
        <f t="shared" ref="S23:S24" si="7">SUM(L23:R23)</f>
        <v>25071042.850000001</v>
      </c>
    </row>
    <row r="24" spans="1:19" ht="23.25" customHeight="1" x14ac:dyDescent="0.25">
      <c r="A24" s="41"/>
      <c r="B24" s="41"/>
      <c r="C24" s="41"/>
      <c r="D24" s="41"/>
      <c r="E24" s="41"/>
      <c r="F24" s="41"/>
      <c r="L24" s="44">
        <v>10031433.359999999</v>
      </c>
      <c r="M24" s="45">
        <v>10499952.76</v>
      </c>
      <c r="N24" s="46"/>
      <c r="O24" s="44">
        <v>9073303.7699999996</v>
      </c>
      <c r="P24" s="44">
        <v>10902374.119999999</v>
      </c>
      <c r="Q24" s="44">
        <v>9535272.25</v>
      </c>
      <c r="R24" s="44">
        <v>9598307.2200000007</v>
      </c>
      <c r="S24" s="43">
        <f t="shared" si="7"/>
        <v>59640643.479999997</v>
      </c>
    </row>
    <row r="25" spans="1:19" ht="23.25" customHeight="1" x14ac:dyDescent="0.25">
      <c r="A25" s="41"/>
      <c r="B25" s="41"/>
      <c r="C25" s="41"/>
      <c r="D25" s="41"/>
      <c r="E25" s="41"/>
      <c r="F25" s="41"/>
    </row>
    <row r="26" spans="1:19" ht="23.25" customHeight="1" x14ac:dyDescent="0.25">
      <c r="A26" s="41"/>
      <c r="B26" s="41"/>
      <c r="C26" s="41"/>
      <c r="D26" s="41"/>
      <c r="E26" s="41"/>
      <c r="F26" s="41"/>
    </row>
    <row r="27" spans="1:19" ht="23.25" customHeight="1" x14ac:dyDescent="0.25">
      <c r="A27" s="41"/>
      <c r="B27" s="41"/>
      <c r="C27" s="41"/>
      <c r="D27" s="41"/>
      <c r="E27" s="41"/>
      <c r="F27" s="41"/>
    </row>
    <row r="28" spans="1:19" ht="23.25" customHeight="1" x14ac:dyDescent="0.25">
      <c r="A28" s="41"/>
      <c r="B28" s="41"/>
      <c r="C28" s="41"/>
      <c r="D28" s="41"/>
      <c r="E28" s="41"/>
      <c r="F28" s="41"/>
    </row>
    <row r="29" spans="1:19" ht="23.25" customHeight="1" x14ac:dyDescent="0.25">
      <c r="A29" s="41"/>
      <c r="B29" s="41"/>
      <c r="C29" s="41"/>
      <c r="D29" s="41"/>
      <c r="E29" s="41"/>
      <c r="F29" s="41"/>
    </row>
    <row r="30" spans="1:19" ht="23.25" customHeight="1" x14ac:dyDescent="0.25">
      <c r="A30" s="41"/>
      <c r="B30" s="41"/>
      <c r="C30" s="41"/>
      <c r="D30" s="41"/>
      <c r="E30" s="41"/>
      <c r="F30" s="41"/>
    </row>
    <row r="31" spans="1:19" ht="23.25" customHeight="1" x14ac:dyDescent="0.25">
      <c r="A31" s="41"/>
      <c r="B31" s="41"/>
      <c r="C31" s="41"/>
      <c r="D31" s="41"/>
      <c r="E31" s="41"/>
      <c r="F31" s="41"/>
    </row>
    <row r="32" spans="1:19" ht="23.25" customHeight="1" x14ac:dyDescent="0.25">
      <c r="A32" s="41"/>
      <c r="B32" s="41"/>
      <c r="C32" s="41"/>
      <c r="D32" s="41"/>
      <c r="E32" s="41"/>
      <c r="F32" s="41"/>
    </row>
    <row r="33" spans="1:6" ht="23.25" customHeight="1" x14ac:dyDescent="0.25">
      <c r="A33" s="41"/>
      <c r="B33" s="41"/>
      <c r="C33" s="41"/>
      <c r="D33" s="41"/>
      <c r="E33" s="41"/>
      <c r="F33" s="41"/>
    </row>
    <row r="34" spans="1:6" ht="23.25" customHeight="1" x14ac:dyDescent="0.25">
      <c r="A34" s="41"/>
      <c r="B34" s="41"/>
      <c r="C34" s="41"/>
      <c r="D34" s="41"/>
      <c r="E34" s="41"/>
      <c r="F34" s="41"/>
    </row>
    <row r="35" spans="1:6" ht="23.25" customHeight="1" x14ac:dyDescent="0.25">
      <c r="A35" s="41"/>
      <c r="B35" s="41"/>
      <c r="C35" s="41"/>
      <c r="D35" s="41"/>
      <c r="E35" s="41"/>
      <c r="F35" s="41"/>
    </row>
    <row r="36" spans="1:6" ht="23.25" customHeight="1" x14ac:dyDescent="0.25">
      <c r="A36" s="41"/>
      <c r="B36" s="41"/>
      <c r="C36" s="41"/>
      <c r="D36" s="41"/>
      <c r="E36" s="41"/>
      <c r="F36" s="41"/>
    </row>
    <row r="37" spans="1:6" ht="23.25" customHeight="1" x14ac:dyDescent="0.25">
      <c r="A37" s="41"/>
      <c r="B37" s="41"/>
      <c r="C37" s="41"/>
      <c r="D37" s="41"/>
      <c r="E37" s="41"/>
      <c r="F37" s="41"/>
    </row>
    <row r="38" spans="1:6" ht="23.25" customHeight="1" x14ac:dyDescent="0.25">
      <c r="A38" s="41"/>
      <c r="B38" s="41"/>
      <c r="C38" s="41"/>
      <c r="D38" s="41"/>
      <c r="E38" s="41"/>
      <c r="F38" s="41"/>
    </row>
    <row r="39" spans="1:6" ht="23.25" customHeight="1" x14ac:dyDescent="0.25">
      <c r="A39" s="41"/>
      <c r="B39" s="41"/>
      <c r="C39" s="41"/>
      <c r="D39" s="41"/>
      <c r="E39" s="41"/>
      <c r="F39" s="41"/>
    </row>
    <row r="40" spans="1:6" ht="23.25" customHeight="1" x14ac:dyDescent="0.25">
      <c r="A40" s="41"/>
      <c r="B40" s="41"/>
      <c r="C40" s="41"/>
      <c r="D40" s="41"/>
      <c r="E40" s="41"/>
      <c r="F40" s="41"/>
    </row>
    <row r="41" spans="1:6" ht="23.25" customHeight="1" x14ac:dyDescent="0.25">
      <c r="A41" s="41"/>
      <c r="B41" s="41"/>
      <c r="C41" s="41"/>
      <c r="D41" s="41"/>
      <c r="E41" s="41"/>
      <c r="F41" s="41"/>
    </row>
    <row r="42" spans="1:6" ht="23.25" customHeight="1" x14ac:dyDescent="0.25">
      <c r="A42" s="41"/>
      <c r="B42" s="41"/>
      <c r="C42" s="41"/>
      <c r="D42" s="41"/>
      <c r="E42" s="41"/>
      <c r="F42" s="41"/>
    </row>
    <row r="43" spans="1:6" ht="23.25" customHeight="1" x14ac:dyDescent="0.25">
      <c r="A43" s="41"/>
      <c r="B43" s="41"/>
      <c r="C43" s="41"/>
      <c r="D43" s="41"/>
      <c r="E43" s="41"/>
      <c r="F43" s="41"/>
    </row>
    <row r="44" spans="1:6" ht="23.25" customHeight="1" x14ac:dyDescent="0.25">
      <c r="A44" s="41"/>
      <c r="B44" s="41"/>
      <c r="C44" s="41"/>
      <c r="D44" s="41"/>
      <c r="E44" s="41"/>
      <c r="F44" s="41"/>
    </row>
    <row r="45" spans="1:6" ht="23.25" customHeight="1" x14ac:dyDescent="0.25">
      <c r="A45" s="41"/>
      <c r="B45" s="41"/>
      <c r="C45" s="41"/>
      <c r="D45" s="41"/>
      <c r="E45" s="41"/>
      <c r="F45" s="41"/>
    </row>
    <row r="46" spans="1:6" ht="23.25" customHeight="1" x14ac:dyDescent="0.25">
      <c r="A46" s="41"/>
      <c r="B46" s="41"/>
      <c r="C46" s="41"/>
      <c r="D46" s="41"/>
      <c r="E46" s="41"/>
      <c r="F46" s="41"/>
    </row>
    <row r="47" spans="1:6" ht="23.25" customHeight="1" x14ac:dyDescent="0.25">
      <c r="A47" s="41"/>
      <c r="B47" s="41"/>
      <c r="C47" s="41"/>
      <c r="D47" s="41"/>
      <c r="E47" s="41"/>
      <c r="F47" s="41"/>
    </row>
    <row r="48" spans="1:6" ht="23.25" customHeight="1" x14ac:dyDescent="0.25">
      <c r="A48" s="41"/>
      <c r="B48" s="41"/>
      <c r="C48" s="41"/>
      <c r="D48" s="41"/>
      <c r="E48" s="41"/>
      <c r="F48" s="41"/>
    </row>
    <row r="49" spans="1:6" ht="23.25" customHeight="1" x14ac:dyDescent="0.25">
      <c r="A49" s="41"/>
      <c r="B49" s="41"/>
      <c r="C49" s="41"/>
      <c r="D49" s="41"/>
      <c r="E49" s="41"/>
      <c r="F49" s="41"/>
    </row>
    <row r="50" spans="1:6" ht="23.25" customHeight="1" x14ac:dyDescent="0.25">
      <c r="A50" s="41"/>
      <c r="B50" s="41"/>
      <c r="C50" s="41"/>
      <c r="D50" s="41"/>
      <c r="E50" s="41"/>
      <c r="F50" s="41"/>
    </row>
    <row r="51" spans="1:6" ht="23.25" customHeight="1" x14ac:dyDescent="0.25">
      <c r="A51" s="41"/>
      <c r="B51" s="41"/>
      <c r="C51" s="41"/>
      <c r="D51" s="41"/>
      <c r="E51" s="41"/>
      <c r="F51" s="41"/>
    </row>
    <row r="52" spans="1:6" ht="23.25" customHeight="1" x14ac:dyDescent="0.25">
      <c r="A52" s="41"/>
      <c r="B52" s="41"/>
      <c r="C52" s="41"/>
      <c r="D52" s="41"/>
      <c r="E52" s="41"/>
      <c r="F52" s="41"/>
    </row>
    <row r="53" spans="1:6" ht="23.25" customHeight="1" x14ac:dyDescent="0.25">
      <c r="A53" s="41"/>
      <c r="B53" s="41"/>
      <c r="C53" s="41"/>
      <c r="D53" s="41"/>
      <c r="E53" s="41"/>
      <c r="F53" s="41"/>
    </row>
    <row r="54" spans="1:6" ht="23.25" customHeight="1" x14ac:dyDescent="0.25">
      <c r="A54" s="41"/>
      <c r="B54" s="41"/>
      <c r="C54" s="41"/>
      <c r="D54" s="41"/>
      <c r="E54" s="41"/>
      <c r="F54" s="41"/>
    </row>
    <row r="55" spans="1:6" ht="23.25" customHeight="1" x14ac:dyDescent="0.25">
      <c r="A55" s="41"/>
      <c r="B55" s="41"/>
      <c r="C55" s="41"/>
      <c r="D55" s="41"/>
      <c r="E55" s="41"/>
      <c r="F55" s="41"/>
    </row>
    <row r="56" spans="1:6" ht="23.25" customHeight="1" x14ac:dyDescent="0.25">
      <c r="A56" s="41"/>
      <c r="B56" s="41"/>
      <c r="C56" s="41"/>
      <c r="D56" s="41"/>
      <c r="E56" s="41"/>
      <c r="F56" s="41"/>
    </row>
    <row r="57" spans="1:6" ht="23.25" customHeight="1" x14ac:dyDescent="0.25">
      <c r="A57" s="41"/>
      <c r="B57" s="41"/>
      <c r="C57" s="41"/>
      <c r="D57" s="41"/>
      <c r="E57" s="41"/>
      <c r="F57" s="41"/>
    </row>
    <row r="58" spans="1:6" ht="23.25" customHeight="1" x14ac:dyDescent="0.25">
      <c r="A58" s="41"/>
      <c r="B58" s="41"/>
      <c r="C58" s="41"/>
      <c r="D58" s="41"/>
      <c r="E58" s="41"/>
      <c r="F58" s="41"/>
    </row>
    <row r="59" spans="1:6" ht="23.25" customHeight="1" x14ac:dyDescent="0.25">
      <c r="A59" s="41"/>
      <c r="B59" s="41"/>
      <c r="C59" s="41"/>
      <c r="D59" s="41"/>
      <c r="E59" s="41"/>
      <c r="F59" s="41"/>
    </row>
    <row r="60" spans="1:6" ht="23.25" customHeight="1" x14ac:dyDescent="0.25">
      <c r="A60" s="41"/>
      <c r="B60" s="41"/>
      <c r="C60" s="41"/>
      <c r="D60" s="41"/>
      <c r="E60" s="41"/>
      <c r="F60" s="41"/>
    </row>
    <row r="61" spans="1:6" ht="23.25" customHeight="1" x14ac:dyDescent="0.25">
      <c r="A61" s="41"/>
      <c r="B61" s="41"/>
      <c r="C61" s="41"/>
      <c r="D61" s="41"/>
      <c r="E61" s="41"/>
      <c r="F61" s="41"/>
    </row>
    <row r="62" spans="1:6" ht="23.25" customHeight="1" x14ac:dyDescent="0.25">
      <c r="A62" s="41"/>
      <c r="B62" s="41"/>
      <c r="C62" s="41"/>
      <c r="D62" s="41"/>
      <c r="E62" s="41"/>
      <c r="F62" s="41"/>
    </row>
    <row r="63" spans="1:6" ht="23.25" customHeight="1" x14ac:dyDescent="0.25">
      <c r="A63" s="41"/>
      <c r="B63" s="41"/>
      <c r="C63" s="41"/>
      <c r="D63" s="41"/>
      <c r="E63" s="41"/>
      <c r="F63" s="41"/>
    </row>
    <row r="64" spans="1:6" ht="23.25" customHeight="1" x14ac:dyDescent="0.25">
      <c r="A64" s="41"/>
      <c r="B64" s="41"/>
      <c r="C64" s="41"/>
      <c r="D64" s="41"/>
      <c r="E64" s="41"/>
      <c r="F64" s="41"/>
    </row>
    <row r="65" spans="1:6" ht="23.25" customHeight="1" x14ac:dyDescent="0.25">
      <c r="A65" s="41"/>
      <c r="B65" s="41"/>
      <c r="C65" s="41"/>
      <c r="D65" s="41"/>
      <c r="E65" s="41"/>
      <c r="F65" s="41"/>
    </row>
    <row r="66" spans="1:6" ht="23.25" customHeight="1" x14ac:dyDescent="0.25">
      <c r="A66" s="41"/>
      <c r="B66" s="41"/>
      <c r="C66" s="41"/>
      <c r="D66" s="41"/>
      <c r="E66" s="41"/>
      <c r="F66" s="41"/>
    </row>
    <row r="67" spans="1:6" ht="23.25" customHeight="1" x14ac:dyDescent="0.25">
      <c r="A67" s="41"/>
      <c r="B67" s="41"/>
      <c r="C67" s="41"/>
      <c r="D67" s="41"/>
      <c r="E67" s="41"/>
      <c r="F67" s="41"/>
    </row>
    <row r="68" spans="1:6" ht="23.25" customHeight="1" x14ac:dyDescent="0.25">
      <c r="A68" s="41"/>
      <c r="B68" s="41"/>
      <c r="C68" s="41"/>
      <c r="D68" s="41"/>
      <c r="E68" s="41"/>
      <c r="F68" s="41"/>
    </row>
    <row r="69" spans="1:6" ht="23.25" customHeight="1" x14ac:dyDescent="0.25">
      <c r="A69" s="41"/>
      <c r="B69" s="41"/>
      <c r="C69" s="41"/>
      <c r="D69" s="41"/>
      <c r="E69" s="41"/>
      <c r="F69" s="41"/>
    </row>
    <row r="70" spans="1:6" ht="23.25" customHeight="1" x14ac:dyDescent="0.25">
      <c r="A70" s="41"/>
      <c r="B70" s="41"/>
      <c r="C70" s="41"/>
      <c r="D70" s="41"/>
      <c r="E70" s="41"/>
      <c r="F70" s="41"/>
    </row>
    <row r="71" spans="1:6" ht="23.25" customHeight="1" x14ac:dyDescent="0.25">
      <c r="A71" s="41"/>
      <c r="B71" s="41"/>
      <c r="C71" s="41"/>
      <c r="D71" s="41"/>
      <c r="E71" s="41"/>
      <c r="F71" s="41"/>
    </row>
    <row r="72" spans="1:6" ht="23.25" customHeight="1" x14ac:dyDescent="0.25">
      <c r="A72" s="41"/>
      <c r="B72" s="41"/>
      <c r="C72" s="41"/>
      <c r="D72" s="41"/>
      <c r="E72" s="41"/>
      <c r="F72" s="41"/>
    </row>
    <row r="73" spans="1:6" ht="23.25" customHeight="1" x14ac:dyDescent="0.25">
      <c r="A73" s="41"/>
      <c r="B73" s="41"/>
      <c r="C73" s="41"/>
      <c r="D73" s="41"/>
      <c r="E73" s="41"/>
      <c r="F73" s="41"/>
    </row>
    <row r="74" spans="1:6" ht="23.25" customHeight="1" x14ac:dyDescent="0.25">
      <c r="A74" s="41"/>
      <c r="B74" s="41"/>
      <c r="C74" s="41"/>
      <c r="D74" s="41"/>
      <c r="E74" s="41"/>
      <c r="F74" s="41"/>
    </row>
    <row r="75" spans="1:6" ht="23.25" customHeight="1" x14ac:dyDescent="0.25">
      <c r="A75" s="41"/>
      <c r="B75" s="41"/>
      <c r="C75" s="41"/>
      <c r="D75" s="41"/>
      <c r="E75" s="41"/>
      <c r="F75" s="41"/>
    </row>
    <row r="76" spans="1:6" ht="23.25" customHeight="1" x14ac:dyDescent="0.25">
      <c r="A76" s="41"/>
      <c r="B76" s="41"/>
      <c r="C76" s="41"/>
      <c r="D76" s="41"/>
      <c r="E76" s="41"/>
      <c r="F76" s="41"/>
    </row>
    <row r="77" spans="1:6" ht="23.25" customHeight="1" x14ac:dyDescent="0.25">
      <c r="A77" s="41"/>
      <c r="B77" s="41"/>
      <c r="C77" s="41"/>
      <c r="D77" s="41"/>
      <c r="E77" s="41"/>
      <c r="F77" s="41"/>
    </row>
    <row r="78" spans="1:6" ht="23.25" customHeight="1" x14ac:dyDescent="0.25">
      <c r="A78" s="41"/>
      <c r="B78" s="41"/>
      <c r="C78" s="41"/>
      <c r="D78" s="41"/>
      <c r="E78" s="41"/>
      <c r="F78" s="41"/>
    </row>
    <row r="79" spans="1:6" ht="23.25" customHeight="1" x14ac:dyDescent="0.25">
      <c r="A79" s="41"/>
      <c r="B79" s="41"/>
      <c r="C79" s="41"/>
      <c r="D79" s="41"/>
      <c r="E79" s="41"/>
      <c r="F79" s="41"/>
    </row>
    <row r="80" spans="1:6" ht="23.25" customHeight="1" x14ac:dyDescent="0.25">
      <c r="A80" s="41"/>
      <c r="B80" s="41"/>
      <c r="C80" s="41"/>
      <c r="D80" s="41"/>
      <c r="E80" s="41"/>
      <c r="F80" s="41"/>
    </row>
    <row r="81" spans="1:6" ht="23.25" customHeight="1" x14ac:dyDescent="0.25">
      <c r="A81" s="41"/>
      <c r="B81" s="41"/>
      <c r="C81" s="41"/>
      <c r="D81" s="41"/>
      <c r="E81" s="41"/>
      <c r="F81" s="41"/>
    </row>
    <row r="82" spans="1:6" ht="23.25" customHeight="1" x14ac:dyDescent="0.25">
      <c r="A82" s="41"/>
      <c r="B82" s="41"/>
      <c r="C82" s="41"/>
      <c r="D82" s="41"/>
      <c r="E82" s="41"/>
      <c r="F82" s="41"/>
    </row>
    <row r="83" spans="1:6" ht="23.25" customHeight="1" x14ac:dyDescent="0.25">
      <c r="A83" s="41"/>
      <c r="B83" s="41"/>
      <c r="C83" s="41"/>
      <c r="D83" s="41"/>
      <c r="E83" s="41"/>
      <c r="F83" s="41"/>
    </row>
    <row r="84" spans="1:6" ht="23.25" customHeight="1" x14ac:dyDescent="0.25">
      <c r="A84" s="41"/>
      <c r="B84" s="41"/>
      <c r="C84" s="41"/>
      <c r="D84" s="41"/>
      <c r="E84" s="41"/>
      <c r="F84" s="41"/>
    </row>
    <row r="85" spans="1:6" ht="23.25" customHeight="1" x14ac:dyDescent="0.25">
      <c r="A85" s="41"/>
      <c r="B85" s="41"/>
      <c r="C85" s="41"/>
      <c r="D85" s="41"/>
      <c r="E85" s="41"/>
      <c r="F85" s="41"/>
    </row>
    <row r="86" spans="1:6" ht="23.25" customHeight="1" x14ac:dyDescent="0.25">
      <c r="A86" s="41"/>
      <c r="B86" s="41"/>
      <c r="C86" s="41"/>
      <c r="D86" s="41"/>
      <c r="E86" s="41"/>
      <c r="F86" s="41"/>
    </row>
    <row r="87" spans="1:6" ht="23.25" customHeight="1" x14ac:dyDescent="0.25">
      <c r="A87" s="41"/>
      <c r="B87" s="41"/>
      <c r="C87" s="41"/>
      <c r="D87" s="41"/>
      <c r="E87" s="41"/>
      <c r="F87" s="41"/>
    </row>
    <row r="88" spans="1:6" ht="23.25" customHeight="1" x14ac:dyDescent="0.25">
      <c r="A88" s="41"/>
      <c r="B88" s="41"/>
      <c r="C88" s="41"/>
      <c r="D88" s="41"/>
      <c r="E88" s="41"/>
      <c r="F88" s="41"/>
    </row>
    <row r="89" spans="1:6" ht="23.25" customHeight="1" x14ac:dyDescent="0.25">
      <c r="A89" s="41"/>
      <c r="B89" s="41"/>
      <c r="C89" s="41"/>
      <c r="D89" s="41"/>
      <c r="E89" s="41"/>
      <c r="F89" s="41"/>
    </row>
    <row r="90" spans="1:6" ht="23.25" customHeight="1" x14ac:dyDescent="0.25">
      <c r="A90" s="41"/>
      <c r="B90" s="41"/>
      <c r="C90" s="41"/>
      <c r="D90" s="41"/>
      <c r="E90" s="41"/>
      <c r="F90" s="41"/>
    </row>
    <row r="91" spans="1:6" ht="23.25" customHeight="1" x14ac:dyDescent="0.25">
      <c r="A91" s="41"/>
      <c r="B91" s="41"/>
      <c r="C91" s="41"/>
      <c r="D91" s="41"/>
      <c r="E91" s="41"/>
      <c r="F91" s="41"/>
    </row>
    <row r="92" spans="1:6" ht="23.25" customHeight="1" x14ac:dyDescent="0.25">
      <c r="A92" s="41"/>
      <c r="B92" s="41"/>
      <c r="C92" s="41"/>
      <c r="D92" s="41"/>
      <c r="E92" s="41"/>
      <c r="F92" s="41"/>
    </row>
    <row r="93" spans="1:6" ht="23.25" customHeight="1" x14ac:dyDescent="0.25">
      <c r="A93" s="41"/>
      <c r="B93" s="41"/>
      <c r="C93" s="41"/>
      <c r="D93" s="41"/>
      <c r="E93" s="41"/>
      <c r="F93" s="41"/>
    </row>
    <row r="94" spans="1:6" ht="23.25" customHeight="1" x14ac:dyDescent="0.25">
      <c r="A94" s="41"/>
      <c r="B94" s="41"/>
      <c r="C94" s="41"/>
      <c r="D94" s="41"/>
      <c r="E94" s="41"/>
      <c r="F94" s="41"/>
    </row>
    <row r="95" spans="1:6" ht="23.25" customHeight="1" x14ac:dyDescent="0.25">
      <c r="A95" s="41"/>
      <c r="B95" s="41"/>
      <c r="C95" s="41"/>
      <c r="D95" s="41"/>
      <c r="E95" s="41"/>
      <c r="F95" s="41"/>
    </row>
    <row r="96" spans="1:6" ht="23.25" customHeight="1" x14ac:dyDescent="0.25">
      <c r="A96" s="41"/>
      <c r="B96" s="41"/>
      <c r="C96" s="41"/>
      <c r="D96" s="41"/>
      <c r="E96" s="41"/>
      <c r="F96" s="41"/>
    </row>
    <row r="97" spans="1:6" ht="23.25" customHeight="1" x14ac:dyDescent="0.25">
      <c r="A97" s="41"/>
      <c r="B97" s="41"/>
      <c r="C97" s="41"/>
      <c r="D97" s="41"/>
      <c r="E97" s="41"/>
      <c r="F97" s="41"/>
    </row>
    <row r="98" spans="1:6" ht="23.25" customHeight="1" x14ac:dyDescent="0.25">
      <c r="A98" s="41"/>
      <c r="B98" s="41"/>
      <c r="C98" s="41"/>
      <c r="D98" s="41"/>
      <c r="E98" s="41"/>
      <c r="F98" s="41"/>
    </row>
    <row r="99" spans="1:6" ht="23.25" customHeight="1" x14ac:dyDescent="0.25">
      <c r="A99" s="41"/>
      <c r="B99" s="41"/>
      <c r="C99" s="41"/>
      <c r="D99" s="41"/>
      <c r="E99" s="41"/>
      <c r="F99" s="41"/>
    </row>
    <row r="100" spans="1:6" ht="23.25" customHeight="1" x14ac:dyDescent="0.25">
      <c r="A100" s="41"/>
      <c r="B100" s="41"/>
      <c r="C100" s="41"/>
      <c r="D100" s="41"/>
      <c r="E100" s="41"/>
      <c r="F100" s="41"/>
    </row>
    <row r="101" spans="1:6" ht="23.25" customHeight="1" x14ac:dyDescent="0.25">
      <c r="A101" s="41"/>
      <c r="B101" s="41"/>
      <c r="C101" s="41"/>
      <c r="D101" s="41"/>
      <c r="E101" s="41"/>
      <c r="F101" s="41"/>
    </row>
    <row r="102" spans="1:6" ht="23.25" customHeight="1" x14ac:dyDescent="0.25">
      <c r="A102" s="41"/>
      <c r="B102" s="41"/>
      <c r="C102" s="41"/>
      <c r="D102" s="41"/>
      <c r="E102" s="41"/>
      <c r="F102" s="41"/>
    </row>
    <row r="103" spans="1:6" ht="23.25" customHeight="1" x14ac:dyDescent="0.25">
      <c r="A103" s="41"/>
      <c r="B103" s="41"/>
      <c r="C103" s="41"/>
      <c r="D103" s="41"/>
      <c r="E103" s="41"/>
      <c r="F103" s="41"/>
    </row>
    <row r="104" spans="1:6" ht="23.25" customHeight="1" x14ac:dyDescent="0.25">
      <c r="A104" s="41"/>
      <c r="B104" s="41"/>
      <c r="C104" s="41"/>
      <c r="D104" s="41"/>
      <c r="E104" s="41"/>
      <c r="F104" s="41"/>
    </row>
    <row r="105" spans="1:6" ht="23.25" customHeight="1" x14ac:dyDescent="0.25">
      <c r="A105" s="41"/>
      <c r="B105" s="41"/>
      <c r="C105" s="41"/>
      <c r="D105" s="41"/>
      <c r="E105" s="41"/>
      <c r="F105" s="41"/>
    </row>
    <row r="106" spans="1:6" ht="23.25" customHeight="1" x14ac:dyDescent="0.25">
      <c r="A106" s="41"/>
      <c r="B106" s="41"/>
      <c r="C106" s="41"/>
      <c r="D106" s="41"/>
      <c r="E106" s="41"/>
      <c r="F106" s="41"/>
    </row>
    <row r="107" spans="1:6" ht="23.25" customHeight="1" x14ac:dyDescent="0.25">
      <c r="A107" s="41"/>
      <c r="B107" s="41"/>
      <c r="C107" s="41"/>
      <c r="D107" s="41"/>
      <c r="E107" s="41"/>
      <c r="F107" s="41"/>
    </row>
    <row r="108" spans="1:6" ht="23.25" customHeight="1" x14ac:dyDescent="0.25">
      <c r="A108" s="41"/>
      <c r="B108" s="41"/>
      <c r="C108" s="41"/>
      <c r="D108" s="41"/>
      <c r="E108" s="41"/>
      <c r="F108" s="41"/>
    </row>
    <row r="109" spans="1:6" ht="23.25" customHeight="1" x14ac:dyDescent="0.25">
      <c r="A109" s="41"/>
      <c r="B109" s="41"/>
      <c r="C109" s="41"/>
      <c r="D109" s="41"/>
      <c r="E109" s="41"/>
      <c r="F109" s="41"/>
    </row>
    <row r="110" spans="1:6" ht="23.25" customHeight="1" x14ac:dyDescent="0.25">
      <c r="A110" s="41"/>
      <c r="B110" s="41"/>
      <c r="C110" s="41"/>
      <c r="D110" s="41"/>
      <c r="E110" s="41"/>
      <c r="F110" s="41"/>
    </row>
    <row r="111" spans="1:6" ht="23.25" customHeight="1" x14ac:dyDescent="0.25">
      <c r="A111" s="41"/>
      <c r="B111" s="41"/>
      <c r="C111" s="41"/>
      <c r="D111" s="41"/>
      <c r="E111" s="41"/>
      <c r="F111" s="41"/>
    </row>
    <row r="112" spans="1:6" ht="23.25" customHeight="1" x14ac:dyDescent="0.25">
      <c r="A112" s="41"/>
      <c r="B112" s="41"/>
      <c r="C112" s="41"/>
      <c r="D112" s="41"/>
      <c r="E112" s="41"/>
      <c r="F112" s="41"/>
    </row>
    <row r="113" spans="1:6" ht="23.25" customHeight="1" x14ac:dyDescent="0.25">
      <c r="A113" s="41"/>
      <c r="B113" s="41"/>
      <c r="C113" s="41"/>
      <c r="D113" s="41"/>
      <c r="E113" s="41"/>
      <c r="F113" s="41"/>
    </row>
    <row r="114" spans="1:6" ht="23.25" customHeight="1" x14ac:dyDescent="0.25">
      <c r="A114" s="41"/>
      <c r="B114" s="41"/>
      <c r="C114" s="41"/>
      <c r="D114" s="41"/>
      <c r="E114" s="41"/>
      <c r="F114" s="41"/>
    </row>
    <row r="115" spans="1:6" ht="23.25" customHeight="1" x14ac:dyDescent="0.25">
      <c r="A115" s="41"/>
      <c r="B115" s="41"/>
      <c r="C115" s="41"/>
      <c r="D115" s="41"/>
      <c r="E115" s="41"/>
      <c r="F115" s="41"/>
    </row>
    <row r="116" spans="1:6" ht="23.25" customHeight="1" x14ac:dyDescent="0.25">
      <c r="A116" s="41"/>
      <c r="B116" s="41"/>
      <c r="C116" s="41"/>
      <c r="D116" s="41"/>
      <c r="E116" s="41"/>
      <c r="F116" s="41"/>
    </row>
    <row r="117" spans="1:6" ht="23.25" customHeight="1" x14ac:dyDescent="0.25">
      <c r="A117" s="41"/>
      <c r="B117" s="41"/>
      <c r="C117" s="41"/>
      <c r="D117" s="41"/>
      <c r="E117" s="41"/>
      <c r="F117" s="41"/>
    </row>
    <row r="118" spans="1:6" ht="23.25" customHeight="1" x14ac:dyDescent="0.25">
      <c r="A118" s="41"/>
      <c r="B118" s="41"/>
      <c r="C118" s="41"/>
      <c r="D118" s="41"/>
      <c r="E118" s="41"/>
      <c r="F118" s="41"/>
    </row>
    <row r="119" spans="1:6" ht="23.25" customHeight="1" x14ac:dyDescent="0.25">
      <c r="A119" s="41"/>
      <c r="B119" s="41"/>
      <c r="C119" s="41"/>
      <c r="D119" s="41"/>
      <c r="E119" s="41"/>
      <c r="F119" s="41"/>
    </row>
    <row r="120" spans="1:6" ht="23.25" customHeight="1" x14ac:dyDescent="0.25">
      <c r="A120" s="41"/>
      <c r="B120" s="41"/>
      <c r="C120" s="41"/>
      <c r="D120" s="41"/>
      <c r="E120" s="41"/>
      <c r="F120" s="41"/>
    </row>
    <row r="121" spans="1:6" ht="23.25" customHeight="1" x14ac:dyDescent="0.25">
      <c r="A121" s="41"/>
      <c r="B121" s="41"/>
      <c r="C121" s="41"/>
      <c r="D121" s="41"/>
      <c r="E121" s="41"/>
      <c r="F121" s="41"/>
    </row>
    <row r="122" spans="1:6" ht="23.25" customHeight="1" x14ac:dyDescent="0.25">
      <c r="A122" s="41"/>
      <c r="B122" s="41"/>
      <c r="C122" s="41"/>
      <c r="D122" s="41"/>
      <c r="E122" s="41"/>
      <c r="F122" s="41"/>
    </row>
    <row r="123" spans="1:6" ht="23.25" customHeight="1" x14ac:dyDescent="0.25">
      <c r="A123" s="41"/>
      <c r="B123" s="41"/>
      <c r="C123" s="41"/>
      <c r="D123" s="41"/>
      <c r="E123" s="41"/>
      <c r="F123" s="41"/>
    </row>
    <row r="124" spans="1:6" ht="23.25" customHeight="1" x14ac:dyDescent="0.25">
      <c r="A124" s="41"/>
      <c r="B124" s="41"/>
      <c r="C124" s="41"/>
      <c r="D124" s="41"/>
      <c r="E124" s="41"/>
      <c r="F124" s="41"/>
    </row>
    <row r="125" spans="1:6" ht="23.25" customHeight="1" x14ac:dyDescent="0.25">
      <c r="A125" s="41"/>
      <c r="B125" s="41"/>
      <c r="C125" s="41"/>
      <c r="D125" s="41"/>
      <c r="E125" s="41"/>
      <c r="F125" s="41"/>
    </row>
    <row r="126" spans="1:6" ht="23.25" customHeight="1" x14ac:dyDescent="0.25">
      <c r="A126" s="41"/>
      <c r="B126" s="41"/>
      <c r="C126" s="41"/>
      <c r="D126" s="41"/>
      <c r="E126" s="41"/>
      <c r="F126" s="41"/>
    </row>
    <row r="127" spans="1:6" ht="23.25" customHeight="1" x14ac:dyDescent="0.25">
      <c r="A127" s="41"/>
      <c r="B127" s="41"/>
      <c r="C127" s="41"/>
      <c r="D127" s="41"/>
      <c r="E127" s="41"/>
      <c r="F127" s="41"/>
    </row>
    <row r="128" spans="1:6" ht="23.25" customHeight="1" x14ac:dyDescent="0.25">
      <c r="A128" s="41"/>
      <c r="B128" s="41"/>
      <c r="C128" s="41"/>
      <c r="D128" s="41"/>
      <c r="E128" s="41"/>
      <c r="F128" s="41"/>
    </row>
    <row r="129" spans="1:6" ht="23.25" customHeight="1" x14ac:dyDescent="0.25">
      <c r="A129" s="41"/>
      <c r="B129" s="41"/>
      <c r="C129" s="41"/>
      <c r="D129" s="41"/>
      <c r="E129" s="41"/>
      <c r="F129" s="41"/>
    </row>
    <row r="130" spans="1:6" ht="23.25" customHeight="1" x14ac:dyDescent="0.25">
      <c r="A130" s="41"/>
      <c r="B130" s="41"/>
      <c r="C130" s="41"/>
      <c r="D130" s="41"/>
      <c r="E130" s="41"/>
      <c r="F130" s="41"/>
    </row>
    <row r="131" spans="1:6" ht="23.25" customHeight="1" x14ac:dyDescent="0.25">
      <c r="A131" s="41"/>
      <c r="B131" s="41"/>
      <c r="C131" s="41"/>
      <c r="D131" s="41"/>
      <c r="E131" s="41"/>
      <c r="F131" s="41"/>
    </row>
    <row r="132" spans="1:6" ht="23.25" customHeight="1" x14ac:dyDescent="0.25">
      <c r="A132" s="41"/>
      <c r="B132" s="41"/>
      <c r="C132" s="41"/>
      <c r="D132" s="41"/>
      <c r="E132" s="41"/>
      <c r="F132" s="41"/>
    </row>
    <row r="133" spans="1:6" ht="23.25" customHeight="1" x14ac:dyDescent="0.25">
      <c r="A133" s="41"/>
      <c r="B133" s="41"/>
      <c r="C133" s="41"/>
      <c r="D133" s="41"/>
      <c r="E133" s="41"/>
      <c r="F133" s="41"/>
    </row>
    <row r="134" spans="1:6" ht="23.25" customHeight="1" x14ac:dyDescent="0.25">
      <c r="A134" s="41"/>
      <c r="B134" s="41"/>
      <c r="C134" s="41"/>
      <c r="D134" s="41"/>
      <c r="E134" s="41"/>
      <c r="F134" s="41"/>
    </row>
    <row r="135" spans="1:6" ht="23.25" customHeight="1" x14ac:dyDescent="0.25">
      <c r="A135" s="41"/>
      <c r="B135" s="41"/>
      <c r="C135" s="41"/>
      <c r="D135" s="41"/>
      <c r="E135" s="41"/>
      <c r="F135" s="41"/>
    </row>
    <row r="136" spans="1:6" ht="23.25" customHeight="1" x14ac:dyDescent="0.25">
      <c r="A136" s="41"/>
      <c r="B136" s="41"/>
      <c r="C136" s="41"/>
      <c r="D136" s="41"/>
      <c r="E136" s="41"/>
      <c r="F136" s="41"/>
    </row>
    <row r="137" spans="1:6" ht="23.25" customHeight="1" x14ac:dyDescent="0.25">
      <c r="A137" s="41"/>
      <c r="B137" s="41"/>
      <c r="C137" s="41"/>
      <c r="D137" s="41"/>
      <c r="E137" s="41"/>
      <c r="F137" s="41"/>
    </row>
    <row r="138" spans="1:6" ht="23.25" customHeight="1" x14ac:dyDescent="0.25">
      <c r="A138" s="41"/>
      <c r="B138" s="41"/>
      <c r="C138" s="41"/>
      <c r="D138" s="41"/>
      <c r="E138" s="41"/>
      <c r="F138" s="41"/>
    </row>
    <row r="139" spans="1:6" ht="23.25" customHeight="1" x14ac:dyDescent="0.25">
      <c r="A139" s="41"/>
      <c r="B139" s="41"/>
      <c r="C139" s="41"/>
      <c r="D139" s="41"/>
      <c r="E139" s="41"/>
      <c r="F139" s="41"/>
    </row>
    <row r="140" spans="1:6" ht="23.25" customHeight="1" x14ac:dyDescent="0.25">
      <c r="A140" s="41"/>
      <c r="B140" s="41"/>
      <c r="C140" s="41"/>
      <c r="D140" s="41"/>
      <c r="E140" s="41"/>
      <c r="F140" s="41"/>
    </row>
    <row r="141" spans="1:6" ht="23.25" customHeight="1" x14ac:dyDescent="0.25">
      <c r="A141" s="41"/>
      <c r="B141" s="41"/>
      <c r="C141" s="41"/>
      <c r="D141" s="41"/>
      <c r="E141" s="41"/>
      <c r="F141" s="41"/>
    </row>
    <row r="142" spans="1:6" ht="23.25" customHeight="1" x14ac:dyDescent="0.25">
      <c r="A142" s="41"/>
      <c r="B142" s="41"/>
      <c r="C142" s="41"/>
      <c r="D142" s="41"/>
      <c r="E142" s="41"/>
      <c r="F142" s="41"/>
    </row>
    <row r="143" spans="1:6" ht="23.25" customHeight="1" x14ac:dyDescent="0.25">
      <c r="A143" s="41"/>
      <c r="B143" s="41"/>
      <c r="C143" s="41"/>
      <c r="D143" s="41"/>
      <c r="E143" s="41"/>
      <c r="F143" s="41"/>
    </row>
    <row r="144" spans="1:6" ht="23.25" customHeight="1" x14ac:dyDescent="0.25">
      <c r="A144" s="41"/>
      <c r="B144" s="41"/>
      <c r="C144" s="41"/>
      <c r="D144" s="41"/>
      <c r="E144" s="41"/>
      <c r="F144" s="41"/>
    </row>
    <row r="145" spans="1:6" ht="23.25" customHeight="1" x14ac:dyDescent="0.25">
      <c r="A145" s="41"/>
      <c r="B145" s="41"/>
      <c r="C145" s="41"/>
      <c r="D145" s="41"/>
      <c r="E145" s="41"/>
      <c r="F145" s="41"/>
    </row>
    <row r="146" spans="1:6" ht="23.25" customHeight="1" x14ac:dyDescent="0.25">
      <c r="A146" s="41"/>
      <c r="B146" s="41"/>
      <c r="C146" s="41"/>
      <c r="D146" s="41"/>
      <c r="E146" s="41"/>
      <c r="F146" s="41"/>
    </row>
    <row r="147" spans="1:6" ht="23.25" customHeight="1" x14ac:dyDescent="0.25">
      <c r="A147" s="41"/>
      <c r="B147" s="41"/>
      <c r="C147" s="41"/>
      <c r="D147" s="41"/>
      <c r="E147" s="41"/>
      <c r="F147" s="41"/>
    </row>
    <row r="148" spans="1:6" ht="23.25" customHeight="1" x14ac:dyDescent="0.25">
      <c r="A148" s="41"/>
      <c r="B148" s="41"/>
      <c r="C148" s="41"/>
      <c r="D148" s="41"/>
      <c r="E148" s="41"/>
      <c r="F148" s="41"/>
    </row>
    <row r="149" spans="1:6" ht="23.25" customHeight="1" x14ac:dyDescent="0.25">
      <c r="A149" s="41"/>
      <c r="B149" s="41"/>
      <c r="C149" s="41"/>
      <c r="D149" s="41"/>
      <c r="E149" s="41"/>
      <c r="F149" s="41"/>
    </row>
    <row r="150" spans="1:6" ht="23.25" customHeight="1" x14ac:dyDescent="0.25">
      <c r="A150" s="41"/>
      <c r="B150" s="41"/>
      <c r="C150" s="41"/>
      <c r="D150" s="41"/>
      <c r="E150" s="41"/>
      <c r="F150" s="41"/>
    </row>
    <row r="151" spans="1:6" ht="23.25" customHeight="1" x14ac:dyDescent="0.25">
      <c r="A151" s="41"/>
      <c r="B151" s="41"/>
      <c r="C151" s="41"/>
      <c r="D151" s="41"/>
      <c r="E151" s="41"/>
      <c r="F151" s="41"/>
    </row>
    <row r="152" spans="1:6" ht="23.25" customHeight="1" x14ac:dyDescent="0.25">
      <c r="A152" s="41"/>
      <c r="B152" s="41"/>
      <c r="C152" s="41"/>
      <c r="D152" s="41"/>
      <c r="E152" s="41"/>
      <c r="F152" s="41"/>
    </row>
    <row r="153" spans="1:6" ht="23.25" customHeight="1" x14ac:dyDescent="0.25">
      <c r="A153" s="41"/>
      <c r="B153" s="41"/>
      <c r="C153" s="41"/>
      <c r="D153" s="41"/>
      <c r="E153" s="41"/>
      <c r="F153" s="41"/>
    </row>
    <row r="154" spans="1:6" ht="23.25" customHeight="1" x14ac:dyDescent="0.25">
      <c r="A154" s="41"/>
      <c r="B154" s="41"/>
      <c r="C154" s="41"/>
      <c r="D154" s="41"/>
      <c r="E154" s="41"/>
      <c r="F154" s="41"/>
    </row>
    <row r="155" spans="1:6" ht="23.25" customHeight="1" x14ac:dyDescent="0.25">
      <c r="A155" s="41"/>
      <c r="B155" s="41"/>
      <c r="C155" s="41"/>
      <c r="D155" s="41"/>
      <c r="E155" s="41"/>
      <c r="F155" s="41"/>
    </row>
    <row r="156" spans="1:6" ht="15.75" customHeight="1" x14ac:dyDescent="0.2"/>
    <row r="157" spans="1:6" ht="15.75" customHeight="1" x14ac:dyDescent="0.2"/>
    <row r="158" spans="1:6" ht="15.75" customHeight="1" x14ac:dyDescent="0.2"/>
    <row r="159" spans="1:6" ht="15.75" customHeight="1" x14ac:dyDescent="0.2"/>
    <row r="160" spans="1: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20:B20"/>
    <mergeCell ref="C20:H20"/>
    <mergeCell ref="A1:H1"/>
    <mergeCell ref="A2:H2"/>
    <mergeCell ref="B4:B5"/>
    <mergeCell ref="C4:C5"/>
    <mergeCell ref="D4:D5"/>
    <mergeCell ref="E4:E5"/>
    <mergeCell ref="F4:F5"/>
    <mergeCell ref="G4:G5"/>
    <mergeCell ref="H4:H5"/>
    <mergeCell ref="L4:L5"/>
    <mergeCell ref="M4:M5"/>
    <mergeCell ref="A18:B18"/>
    <mergeCell ref="A19:B19"/>
    <mergeCell ref="C19:H19"/>
  </mergeCells>
  <conditionalFormatting sqref="B12:H12">
    <cfRule type="cellIs" dxfId="4" priority="1" operator="lessThan">
      <formula>0.486</formula>
    </cfRule>
    <cfRule type="cellIs" dxfId="3" priority="2" operator="greaterThanOrEqual">
      <formula>0.54</formula>
    </cfRule>
    <cfRule type="cellIs" dxfId="2" priority="3" operator="between">
      <formula>0.513</formula>
      <formula>0.539</formula>
    </cfRule>
    <cfRule type="cellIs" dxfId="1" priority="4" operator="between">
      <formula>0.486</formula>
      <formula>0.5129</formula>
    </cfRule>
  </conditionalFormatting>
  <conditionalFormatting sqref="B16:H16">
    <cfRule type="cellIs" dxfId="0" priority="5" operator="greaterThan">
      <formula>0.25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6ff6ee-7204-4f50-bea9-0c8cc2e5c7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A753209ABE0449A11CA1B85EE200CE" ma:contentTypeVersion="9" ma:contentTypeDescription="Crie um novo documento." ma:contentTypeScope="" ma:versionID="f97ac8a0d9b77e505bc24f5d8ec29ad7">
  <xsd:schema xmlns:xsd="http://www.w3.org/2001/XMLSchema" xmlns:xs="http://www.w3.org/2001/XMLSchema" xmlns:p="http://schemas.microsoft.com/office/2006/metadata/properties" xmlns:ns3="336ff6ee-7204-4f50-bea9-0c8cc2e5c794" targetNamespace="http://schemas.microsoft.com/office/2006/metadata/properties" ma:root="true" ma:fieldsID="2af40a52426ade1d0ab9917c7c84eceb" ns3:_="">
    <xsd:import namespace="336ff6ee-7204-4f50-bea9-0c8cc2e5c7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ff6ee-7204-4f50-bea9-0c8cc2e5c7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5B1EF4-F13D-43E8-A99E-7B91276A979C}">
  <ds:schemaRefs>
    <ds:schemaRef ds:uri="http://schemas.microsoft.com/office/2006/metadata/properties"/>
    <ds:schemaRef ds:uri="http://www.w3.org/2000/xmlns/"/>
    <ds:schemaRef ds:uri="336ff6ee-7204-4f50-bea9-0c8cc2e5c794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8135C328-9117-40B4-BC65-C23811977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EA989D-148A-49D3-8BB6-B5B4A473437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36ff6ee-7204-4f50-bea9-0c8cc2e5c7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MSc. CALDANA, Cleber G.</dc:creator>
  <cp:lastModifiedBy>Prof. MSc. CALDANA, Cleber G.</cp:lastModifiedBy>
  <dcterms:created xsi:type="dcterms:W3CDTF">2026-08-20T19:35:47Z</dcterms:created>
  <dcterms:modified xsi:type="dcterms:W3CDTF">2026-08-20T19:37:25Z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0x010100DDA753209ABE0449A11CA1B85EE200CE</vt:lpwstr>
  </property>
</Properties>
</file>