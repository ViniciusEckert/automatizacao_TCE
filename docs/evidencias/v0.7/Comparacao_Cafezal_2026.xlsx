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4012548d7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ção salarial" sheetId="1" r:id="R0a8bfac7efa94c57"/>
    <x:sheet xmlns:r="http://schemas.openxmlformats.org/officeDocument/2006/relationships" name="Parâmetros" sheetId="2" r:id="Rd505eafbf66d4510"/>
    <x:sheet xmlns:r="http://schemas.openxmlformats.org/officeDocument/2006/relationships" name="Dados originais" sheetId="3" r:id="R7c73748745a545f0"/>
    <x:sheet xmlns:r="http://schemas.openxmlformats.org/officeDocument/2006/relationships" name="Fontes e premissas" sheetId="4" r:id="R9e08193790bd492a"/>
  </x:sheets>
</x:workbook>
</file>

<file path=xl/comments1.xml><?xml version="1.0" encoding="utf-8"?>
<x:comments xmlns:x="http://schemas.openxmlformats.org/spreadsheetml/2006/main">
  <x:authors>
    <x:author>tc={FF454815-8123-4492-AAFC-EF5F2C9562CF}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Lei Federal nº 15.437/2026
https://www.planalto.gov.br/ccivil_03/_ato2023-2026/2026/lei/l15437.htm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;-&quot;R$&quot; #,##0.00;&quot;R$&quot; 0.00"/>
    <x:numFmt numFmtId="201" formatCode="0.00%"/>
    <x:numFmt numFmtId="202" formatCode="&quot;R$&quot; #,##0.00"/>
  </x:numFmts>
  <x:fonts count="8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0"/>
      <x:color rgb="FF000000"/>
      <x:name val="Arial"/>
    </x:font>
    <x:font>
      <x:b/>
      <x:sz val="16"/>
      <x:color rgb="FFFFFFFF"/>
      <x:name val="Arial"/>
    </x:font>
    <x:font>
      <x:sz val="10"/>
      <x:color rgb="FF0000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4F6228"/>
      </x:patternFill>
    </x:fill>
    <x:fill>
      <x:patternFill patternType="solid">
        <x:fgColor rgb="FFC4D79B"/>
      </x:patternFill>
    </x:fill>
    <x:fill>
      <x:patternFill patternType="solid">
        <x:fgColor rgb="FF403152"/>
      </x:patternFill>
    </x:fill>
    <x:fill>
      <x:patternFill patternType="solid">
        <x:fgColor rgb="FFB1A0C7"/>
      </x:patternFill>
    </x:fill>
    <x:fill>
      <x:patternFill patternType="solid">
        <x:fgColor rgb="FFFF0000"/>
      </x:patternFill>
    </x:fill>
    <x:fill>
      <x:patternFill patternType="solid">
        <x:fgColor rgb="FFE6B8B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4F6228"/>
      </x:bottom>
    </x:border>
    <x:border>
      <x:bottom style="thin">
        <x:color rgb="FF403152"/>
      </x:bottom>
    </x:border>
    <x:border>
      <x:bottom style="thin">
        <x:color rgb="FFFF0000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right" vertical="center"/>
    </x:xf>
    <x:xf numFmtId="200" fontId="1" fillId="7" borderId="0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201" fontId="6" fillId="6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horizontal="right"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right" vertical="center"/>
    </x:xf>
    <x:xf numFmtId="200" fontId="7" fillId="8" borderId="0" xfId="0" applyNumberFormat="1" applyFont="1" applyFill="1" applyBorder="1" applyAlignment="1">
      <x:alignment horizontal="right"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right" vertical="center" wrapText="1"/>
    </x:xf>
    <x:xf numFmtId="200" fontId="7" fillId="8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7" fillId="8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6"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5f68273844f26" /><Relationship Type="http://schemas.openxmlformats.org/officeDocument/2006/relationships/theme" Target="/xl/theme/theme1.xml" Id="R9689e691d5894a28" /><Relationship Type="http://schemas.openxmlformats.org/officeDocument/2006/relationships/sharedStrings" Target="/xl/sharedStrings.xml" Id="Rc890e66231734cdd" /><Relationship Type="http://schemas.openxmlformats.org/officeDocument/2006/relationships/worksheet" Target="/xl/worksheets/sheet1.xml" Id="R0a8bfac7efa94c57" /><Relationship Type="http://schemas.openxmlformats.org/officeDocument/2006/relationships/worksheet" Target="/xl/worksheets/sheet2.xml" Id="Rd505eafbf66d4510" /><Relationship Type="http://schemas.openxmlformats.org/officeDocument/2006/relationships/worksheet" Target="/xl/worksheets/sheet3.xml" Id="R7c73748745a545f0" /><Relationship Type="http://schemas.openxmlformats.org/officeDocument/2006/relationships/worksheet" Target="/xl/worksheets/sheet4.xml" Id="R9e08193790bd492a" /><Relationship Type="http://schemas.microsoft.com/office/2017/10/relationships/person" Target="/xl/persons/person.xml" Id="Rb02f9f5158474471" /></Relationships>
</file>

<file path=xl/persons/person.xml><?xml version="1.0" encoding="utf-8"?>
<xltc:personList xmlns:xltc="http://schemas.microsoft.com/office/spreadsheetml/2018/threadedcomments">
  <xltc:person displayName="Heryck" id="{192102A7-0AA6-4E16-9D09-AC5A2D0BF95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9" dT="2026-09-07T18:37:53.034" personId="{192102A7-0AA6-4E16-9D09-AC5A2D0BF958}" id="{FF454815-8123-4492-AAFC-EF5F2C9562CF}">
    <xltc:text>Fonte: Lei Federal nº 15.437/2026
https://www.planalto.gov.br/ccivil_03/_ato2023-2026/2026/lei/l15437.htm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5cde276b53e4208" /><Relationship Type="http://schemas.openxmlformats.org/officeDocument/2006/relationships/vmlDrawing" Target="/xl/drawings/vmldrawing.vml" Id="Re6497eb9040d4611" /><Relationship Type="http://schemas.microsoft.com/office/2017/10/relationships/threadedComment" Target="/xl/threadedcomments/threadedcomment.xml" Id="Rdb0ce98570aa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10" t="str">
        <x:v>ANÁLISE SALARIAL — CAFEZAL DO SUL / PR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30" customHeight="1">
      <x:c r="A2" s="12" t="str">
        <x:v>Professor/a · 2026 · 20 horas semanais · Anexo A da LC 064/2026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3" ht="30" customHeight="1">
      <x:c r="A3" s="12" t="str">
        <x:v>Referência: PSPN 2026 (pspn). Fonte, competência e decisões: aba Fontes e premissas.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22" customHeight="1">
      <x:c r="A4" s="2" t="str">
        <x:v>Base da referência:</x:v>
      </x:c>
      <x:c r="B4" s="2"/>
      <x:c r="C4" s="2"/>
      <x:c r="D4" s="4" t="n">
        <x:f>'Parâmetros'!B13</x:f>
        <x:v>2565.31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8" customHeight="1">
      <x:c r="A5" s="14" t="str">
        <x:v>ESTRUTURA DE PROMOÇÃO / PROGRESSÃO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 ht="24" customHeight="1">
      <x:c r="A6" s="16" t="str">
        <x:v>PROFESSOR/A — 20 HORAS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</x:row>
    <x:row r="7" ht="28" customHeight="1">
      <x:c r="A7" s="19" t="str">
        <x:v>Classes →</x:v>
      </x:c>
      <x:c r="B7" s="19" t="str">
        <x:v>Nível</x:v>
      </x:c>
      <x:c r="C7" s="19" t="str">
        <x:v>Regra vertical</x:v>
      </x:c>
      <x:c r="D7" s="19" t="str">
        <x:v>1</x:v>
      </x:c>
      <x:c r="E7" s="19" t="str">
        <x:v>2</x:v>
      </x:c>
      <x:c r="F7" s="19" t="str">
        <x:v>3</x:v>
      </x:c>
      <x:c r="G7" s="19" t="str">
        <x:v>4</x:v>
      </x:c>
      <x:c r="H7" s="19" t="str">
        <x:v>5</x:v>
      </x:c>
      <x:c r="I7" s="19" t="str">
        <x:v>6</x:v>
      </x:c>
      <x:c r="J7" s="19" t="str">
        <x:v>7</x:v>
      </x:c>
      <x:c r="K7" s="19" t="str">
        <x:v>8</x:v>
      </x:c>
      <x:c r="L7" s="19" t="str">
        <x:v>9</x:v>
      </x:c>
      <x:c r="M7" s="19" t="str">
        <x:v>10</x:v>
      </x:c>
      <x:c r="N7" s="19" t="str">
        <x:v>11</x:v>
      </x:c>
      <x:c r="O7" s="19" t="str">
        <x:v>12</x:v>
      </x:c>
    </x:row>
    <x:row r="8" ht="26" customHeight="1">
      <x:c r="A8" s="2" t="str">
        <x:v>Níveis ↓</x:v>
      </x:c>
      <x:c r="B8" s="2" t="str">
        <x:v>A</x:v>
      </x:c>
      <x:c r="C8" s="2" t="str">
        <x:v>Base</x:v>
      </x:c>
      <x:c r="D8" s="5" t="str">
        <x:v>Entrada</x:v>
      </x:c>
      <x:c r="E8" s="6" t="n">
        <x:f>'Parâmetros'!C26/100</x:f>
        <x:v>0.02</x:v>
      </x:c>
      <x:c r="F8" s="6" t="n">
        <x:f>'Parâmetros'!C27/100</x:f>
        <x:v>0.02</x:v>
      </x:c>
      <x:c r="G8" s="6" t="n">
        <x:f>'Parâmetros'!C28/100</x:f>
        <x:v>0.02</x:v>
      </x:c>
      <x:c r="H8" s="6" t="n">
        <x:f>'Parâmetros'!C29/100</x:f>
        <x:v>0.02</x:v>
      </x:c>
      <x:c r="I8" s="6" t="n">
        <x:f>'Parâmetros'!C30/100</x:f>
        <x:v>0.02</x:v>
      </x:c>
      <x:c r="J8" s="6" t="n">
        <x:f>'Parâmetros'!C31/100</x:f>
        <x:v>0.02</x:v>
      </x:c>
      <x:c r="K8" s="6" t="n">
        <x:f>'Parâmetros'!C32/100</x:f>
        <x:v>0.02</x:v>
      </x:c>
      <x:c r="L8" s="6" t="n">
        <x:f>'Parâmetros'!C33/100</x:f>
        <x:v>0.02</x:v>
      </x:c>
      <x:c r="M8" s="6" t="n">
        <x:f>'Parâmetros'!C34/100</x:f>
        <x:v>0.02</x:v>
      </x:c>
      <x:c r="N8" s="6" t="n">
        <x:f>'Parâmetros'!C35/100</x:f>
        <x:v>0.02</x:v>
      </x:c>
      <x:c r="O8" s="6" t="n">
        <x:f>'Parâmetros'!C36/100</x:f>
        <x:v>0.02</x:v>
      </x:c>
    </x:row>
    <x:row r="9" ht="26" customHeight="1">
      <x:c r="A9" s="2"/>
      <x:c r="B9" s="17" t="str">
        <x:v>B</x:v>
      </x:c>
      <x:c r="C9" s="20" t="str">
        <x:f> "+"&amp;TEXT('Parâmetros'!D20,"0.00")&amp;IF('Parâmetros'!C20="valor_fixo"," R$ / ","% / ")&amp;'Parâmetros'!E20</x:f>
        <x:v>+12.00% / A</x:v>
      </x:c>
      <x:c r="D9" s="21" t="str">
        <x:v>Entrada</x:v>
      </x:c>
      <x:c r="E9" s="22" t="n">
        <x:f>'Parâmetros'!C26/100</x:f>
        <x:v>0.02</x:v>
      </x:c>
      <x:c r="F9" s="22" t="n">
        <x:f>'Parâmetros'!C27/100</x:f>
        <x:v>0.02</x:v>
      </x:c>
      <x:c r="G9" s="22" t="n">
        <x:f>'Parâmetros'!C28/100</x:f>
        <x:v>0.02</x:v>
      </x:c>
      <x:c r="H9" s="22" t="n">
        <x:f>'Parâmetros'!C29/100</x:f>
        <x:v>0.02</x:v>
      </x:c>
      <x:c r="I9" s="22" t="n">
        <x:f>'Parâmetros'!C30/100</x:f>
        <x:v>0.02</x:v>
      </x:c>
      <x:c r="J9" s="22" t="n">
        <x:f>'Parâmetros'!C31/100</x:f>
        <x:v>0.02</x:v>
      </x:c>
      <x:c r="K9" s="22" t="n">
        <x:f>'Parâmetros'!C32/100</x:f>
        <x:v>0.02</x:v>
      </x:c>
      <x:c r="L9" s="22" t="n">
        <x:f>'Parâmetros'!C33/100</x:f>
        <x:v>0.02</x:v>
      </x:c>
      <x:c r="M9" s="22" t="n">
        <x:f>'Parâmetros'!C34/100</x:f>
        <x:v>0.02</x:v>
      </x:c>
      <x:c r="N9" s="22" t="n">
        <x:f>'Parâmetros'!C35/100</x:f>
        <x:v>0.02</x:v>
      </x:c>
      <x:c r="O9" s="22" t="n">
        <x:f>'Parâmetros'!C36/100</x:f>
        <x:v>0.02</x:v>
      </x:c>
    </x:row>
    <x:row r="10" ht="26" customHeight="1">
      <x:c r="A10" s="23"/>
      <x:c r="B10" s="23" t="str">
        <x:v>C</x:v>
      </x:c>
      <x:c r="C10" s="24" t="str">
        <x:f> "+"&amp;TEXT('Parâmetros'!D21,"0.00")&amp;IF('Parâmetros'!C21="valor_fixo"," R$ / ","% / ")&amp;'Parâmetros'!E21</x:f>
        <x:v>+27.00% / A</x:v>
      </x:c>
      <x:c r="D10" s="25" t="str">
        <x:v>Entrada</x:v>
      </x:c>
      <x:c r="E10" s="26" t="n">
        <x:f>'Parâmetros'!C26/100</x:f>
        <x:v>0.02</x:v>
      </x:c>
      <x:c r="F10" s="26" t="n">
        <x:f>'Parâmetros'!C27/100</x:f>
        <x:v>0.02</x:v>
      </x:c>
      <x:c r="G10" s="26" t="n">
        <x:f>'Parâmetros'!C28/100</x:f>
        <x:v>0.02</x:v>
      </x:c>
      <x:c r="H10" s="26" t="n">
        <x:f>'Parâmetros'!C29/100</x:f>
        <x:v>0.02</x:v>
      </x:c>
      <x:c r="I10" s="26" t="n">
        <x:f>'Parâmetros'!C30/100</x:f>
        <x:v>0.02</x:v>
      </x:c>
      <x:c r="J10" s="26" t="n">
        <x:f>'Parâmetros'!C31/100</x:f>
        <x:v>0.02</x:v>
      </x:c>
      <x:c r="K10" s="26" t="n">
        <x:f>'Parâmetros'!C32/100</x:f>
        <x:v>0.02</x:v>
      </x:c>
      <x:c r="L10" s="26" t="n">
        <x:f>'Parâmetros'!C33/100</x:f>
        <x:v>0.02</x:v>
      </x:c>
      <x:c r="M10" s="26" t="n">
        <x:f>'Parâmetros'!C34/100</x:f>
        <x:v>0.02</x:v>
      </x:c>
      <x:c r="N10" s="26" t="n">
        <x:f>'Parâmetros'!C35/100</x:f>
        <x:v>0.02</x:v>
      </x:c>
      <x:c r="O10" s="26" t="n">
        <x:f>'Parâmetros'!C36/100</x:f>
        <x:v>0.02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8" customHeight="1">
      <x:c r="A13" s="14" t="str">
        <x:v>• TABELA DE VENCIMENTOS 2026 •</x:v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 ht="24" customHeight="1">
      <x:c r="A14" s="16" t="str">
        <x:v>PROFESSOR/A — 20 HORAS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</x:row>
    <x:row r="15" ht="28" customHeight="1">
      <x:c r="A15" s="19" t="str">
        <x:v>Classes →</x:v>
      </x:c>
      <x:c r="B15" s="19" t="str">
        <x:v>Nível</x:v>
      </x:c>
      <x:c r="C15" s="19" t="str">
        <x:v>Regra vertical</x:v>
      </x:c>
      <x:c r="D15" s="19" t="str">
        <x:v>1</x:v>
      </x:c>
      <x:c r="E15" s="19" t="str">
        <x:v>2</x:v>
      </x:c>
      <x:c r="F15" s="19" t="str">
        <x:v>3</x:v>
      </x:c>
      <x:c r="G15" s="19" t="str">
        <x:v>4</x:v>
      </x:c>
      <x:c r="H15" s="19" t="str">
        <x:v>5</x:v>
      </x:c>
      <x:c r="I15" s="19" t="str">
        <x:v>6</x:v>
      </x:c>
      <x:c r="J15" s="19" t="str">
        <x:v>7</x:v>
      </x:c>
      <x:c r="K15" s="19" t="str">
        <x:v>8</x:v>
      </x:c>
      <x:c r="L15" s="19" t="str">
        <x:v>9</x:v>
      </x:c>
      <x:c r="M15" s="19" t="str">
        <x:v>10</x:v>
      </x:c>
      <x:c r="N15" s="19" t="str">
        <x:v>11</x:v>
      </x:c>
      <x:c r="O15" s="19" t="str">
        <x:v>12</x:v>
      </x:c>
    </x:row>
    <x:row r="16" ht="26" customHeight="1">
      <x:c r="A16" s="2" t="str">
        <x:v>Níveis ↓</x:v>
      </x:c>
      <x:c r="B16" s="2" t="str">
        <x:v>A</x:v>
      </x:c>
      <x:c r="C16" s="2" t="str">
        <x:v>Base</x:v>
      </x:c>
      <x:c r="D16" s="4" t="n">
        <x:f>'Dados originais'!D4</x:f>
        <x:v>2565.31</x:v>
      </x:c>
      <x:c r="E16" s="4" t="n">
        <x:f>'Dados originais'!E4</x:f>
        <x:v>2616.61</x:v>
      </x:c>
      <x:c r="F16" s="4" t="n">
        <x:f>'Dados originais'!F4</x:f>
        <x:v>2668.94</x:v>
      </x:c>
      <x:c r="G16" s="4" t="n">
        <x:f>'Dados originais'!G4</x:f>
        <x:v>2722.31</x:v>
      </x:c>
      <x:c r="H16" s="4" t="n">
        <x:f>'Dados originais'!H4</x:f>
        <x:v>2776.75</x:v>
      </x:c>
      <x:c r="I16" s="4" t="n">
        <x:f>'Dados originais'!I4</x:f>
        <x:v>2832.28</x:v>
      </x:c>
      <x:c r="J16" s="4" t="n">
        <x:f>'Dados originais'!J4</x:f>
        <x:v>2888.92</x:v>
      </x:c>
      <x:c r="K16" s="4" t="n">
        <x:f>'Dados originais'!K4</x:f>
        <x:v>2946.69</x:v>
      </x:c>
      <x:c r="L16" s="4" t="n">
        <x:f>'Dados originais'!L4</x:f>
        <x:v>3005.62</x:v>
      </x:c>
      <x:c r="M16" s="4" t="n">
        <x:f>'Dados originais'!M4</x:f>
        <x:v>3065.73</x:v>
      </x:c>
      <x:c r="N16" s="4" t="n">
        <x:f>'Dados originais'!N4</x:f>
        <x:v>3127.04</x:v>
      </x:c>
      <x:c r="O16" s="4" t="n">
        <x:f>'Dados originais'!O4</x:f>
        <x:v>3189.58</x:v>
      </x:c>
    </x:row>
    <x:row r="17" ht="26" customHeight="1">
      <x:c r="A17" s="2"/>
      <x:c r="B17" s="17" t="str">
        <x:v>B</x:v>
      </x:c>
      <x:c r="C17" s="20" t="str">
        <x:f> "+"&amp;TEXT('Parâmetros'!D20,"0.00")&amp;IF('Parâmetros'!C20="valor_fixo"," R$ / ","% / ")&amp;'Parâmetros'!E20</x:f>
        <x:v>+12.00% / A</x:v>
      </x:c>
      <x:c r="D17" s="27" t="n">
        <x:f>'Dados originais'!D5</x:f>
        <x:v>2873.14</x:v>
      </x:c>
      <x:c r="E17" s="27" t="n">
        <x:f>'Dados originais'!E5</x:f>
        <x:v>2930.6</x:v>
      </x:c>
      <x:c r="F17" s="27" t="n">
        <x:f>'Dados originais'!F5</x:f>
        <x:v>2989.21</x:v>
      </x:c>
      <x:c r="G17" s="27" t="n">
        <x:f>'Dados originais'!G5</x:f>
        <x:v>3048.99</x:v>
      </x:c>
      <x:c r="H17" s="27" t="n">
        <x:f>'Dados originais'!H5</x:f>
        <x:v>3109.96</x:v>
      </x:c>
      <x:c r="I17" s="27" t="n">
        <x:f>'Dados originais'!I5</x:f>
        <x:v>3172.15</x:v>
      </x:c>
      <x:c r="J17" s="27" t="n">
        <x:f>'Dados originais'!J5</x:f>
        <x:v>3235.59</x:v>
      </x:c>
      <x:c r="K17" s="27" t="n">
        <x:f>'Dados originais'!K5</x:f>
        <x:v>3300.3</x:v>
      </x:c>
      <x:c r="L17" s="27" t="n">
        <x:f>'Dados originais'!L5</x:f>
        <x:v>3366.3</x:v>
      </x:c>
      <x:c r="M17" s="27" t="n">
        <x:f>'Dados originais'!M5</x:f>
        <x:v>3433.62</x:v>
      </x:c>
      <x:c r="N17" s="27" t="n">
        <x:f>'Dados originais'!N5</x:f>
        <x:v>3502.29</x:v>
      </x:c>
      <x:c r="O17" s="27" t="n">
        <x:f>'Dados originais'!O5</x:f>
        <x:v>3572.33</x:v>
      </x:c>
    </x:row>
    <x:row r="18" ht="26" customHeight="1">
      <x:c r="A18" s="23"/>
      <x:c r="B18" s="23" t="str">
        <x:v>C</x:v>
      </x:c>
      <x:c r="C18" s="24" t="str">
        <x:f> "+"&amp;TEXT('Parâmetros'!D21,"0.00")&amp;IF('Parâmetros'!C21="valor_fixo"," R$ / ","% / ")&amp;'Parâmetros'!E21</x:f>
        <x:v>+27.00% / A</x:v>
      </x:c>
      <x:c r="D18" s="28" t="n">
        <x:f>'Dados originais'!D6</x:f>
        <x:v>3257.94</x:v>
      </x:c>
      <x:c r="E18" s="28" t="n">
        <x:f>'Dados originais'!E6</x:f>
        <x:v>3323.09</x:v>
      </x:c>
      <x:c r="F18" s="28" t="n">
        <x:f>'Dados originais'!F6</x:f>
        <x:v>3389.55</x:v>
      </x:c>
      <x:c r="G18" s="28" t="n">
        <x:f>'Dados originais'!G6</x:f>
        <x:v>3457.34</x:v>
      </x:c>
      <x:c r="H18" s="28" t="n">
        <x:f>'Dados originais'!H6</x:f>
        <x:v>3526.48</x:v>
      </x:c>
      <x:c r="I18" s="28" t="n">
        <x:f>'Dados originais'!I6</x:f>
        <x:v>3597</x:v>
      </x:c>
      <x:c r="J18" s="28" t="n">
        <x:f>'Dados originais'!J6</x:f>
        <x:v>3668.94</x:v>
      </x:c>
      <x:c r="K18" s="28" t="n">
        <x:f>'Dados originais'!K6</x:f>
        <x:v>3742.31</x:v>
      </x:c>
      <x:c r="L18" s="28" t="n">
        <x:f>'Dados originais'!L6</x:f>
        <x:v>3817.15</x:v>
      </x:c>
      <x:c r="M18" s="28" t="n">
        <x:f>'Dados originais'!M6</x:f>
        <x:v>3893.49</x:v>
      </x:c>
      <x:c r="N18" s="28" t="n">
        <x:f>'Dados originais'!N6</x:f>
        <x:v>3971.35</x:v>
      </x:c>
      <x:c r="O18" s="28" t="n">
        <x:f>'Dados originais'!O6</x:f>
        <x:v>4050.77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8" customHeight="1">
      <x:c r="A21" s="31" t="str">
        <x:v>• TABELA DE VENCIMENTOS — REFERÊNCIA PSPN 2026 •</x:v>
      </x:c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 ht="24" customHeight="1">
      <x:c r="A22" s="33" t="str">
        <x:v>PROFESSOR/A — 20 HORAS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</x:row>
    <x:row r="23" ht="28" customHeight="1">
      <x:c r="A23" s="36" t="str">
        <x:v>Classes →</x:v>
      </x:c>
      <x:c r="B23" s="36" t="str">
        <x:v>Nível</x:v>
      </x:c>
      <x:c r="C23" s="36" t="str">
        <x:v>Regra vertical</x:v>
      </x:c>
      <x:c r="D23" s="36" t="str">
        <x:v>1</x:v>
      </x:c>
      <x:c r="E23" s="36" t="str">
        <x:v>2</x:v>
      </x:c>
      <x:c r="F23" s="36" t="str">
        <x:v>3</x:v>
      </x:c>
      <x:c r="G23" s="36" t="str">
        <x:v>4</x:v>
      </x:c>
      <x:c r="H23" s="36" t="str">
        <x:v>5</x:v>
      </x:c>
      <x:c r="I23" s="36" t="str">
        <x:v>6</x:v>
      </x:c>
      <x:c r="J23" s="36" t="str">
        <x:v>7</x:v>
      </x:c>
      <x:c r="K23" s="36" t="str">
        <x:v>8</x:v>
      </x:c>
      <x:c r="L23" s="36" t="str">
        <x:v>9</x:v>
      </x:c>
      <x:c r="M23" s="36" t="str">
        <x:v>10</x:v>
      </x:c>
      <x:c r="N23" s="36" t="str">
        <x:v>11</x:v>
      </x:c>
      <x:c r="O23" s="36" t="str">
        <x:v>12</x:v>
      </x:c>
    </x:row>
    <x:row r="24" ht="26" customHeight="1">
      <x:c r="A24" s="2" t="str">
        <x:v>Níveis ↓</x:v>
      </x:c>
      <x:c r="B24" s="2" t="str">
        <x:v>A</x:v>
      </x:c>
      <x:c r="C24" s="2" t="str">
        <x:v>Base</x:v>
      </x:c>
      <x:c r="D24" s="4" t="n">
        <x:f>'Parâmetros'!B13</x:f>
        <x:v>2565.31</x:v>
      </x:c>
      <x:c r="E24" s="4" t="n">
        <x:f>IF('Parâmetros'!$B$12="truncar",ROUNDDOWN(D24*(1+'Parâmetros'!C26/100),2),ROUND(D24*(1+'Parâmetros'!C26/100),2))</x:f>
        <x:v>2616.61</x:v>
      </x:c>
      <x:c r="F24" s="4" t="n">
        <x:f>IF('Parâmetros'!$B$12="truncar",ROUNDDOWN(E24*(1+'Parâmetros'!C27/100),2),ROUND(E24*(1+'Parâmetros'!C27/100),2))</x:f>
        <x:v>2668.94</x:v>
      </x:c>
      <x:c r="G24" s="4" t="n">
        <x:f>IF('Parâmetros'!$B$12="truncar",ROUNDDOWN(F24*(1+'Parâmetros'!C28/100),2),ROUND(F24*(1+'Parâmetros'!C28/100),2))</x:f>
        <x:v>2722.31</x:v>
      </x:c>
      <x:c r="H24" s="4" t="n">
        <x:f>IF('Parâmetros'!$B$12="truncar",ROUNDDOWN(G24*(1+'Parâmetros'!C29/100),2),ROUND(G24*(1+'Parâmetros'!C29/100),2))</x:f>
        <x:v>2776.75</x:v>
      </x:c>
      <x:c r="I24" s="4" t="n">
        <x:f>IF('Parâmetros'!$B$12="truncar",ROUNDDOWN(H24*(1+'Parâmetros'!C30/100),2),ROUND(H24*(1+'Parâmetros'!C30/100),2))</x:f>
        <x:v>2832.28</x:v>
      </x:c>
      <x:c r="J24" s="4" t="n">
        <x:f>IF('Parâmetros'!$B$12="truncar",ROUNDDOWN(I24*(1+'Parâmetros'!C31/100),2),ROUND(I24*(1+'Parâmetros'!C31/100),2))</x:f>
        <x:v>2888.92</x:v>
      </x:c>
      <x:c r="K24" s="4" t="n">
        <x:f>IF('Parâmetros'!$B$12="truncar",ROUNDDOWN(J24*(1+'Parâmetros'!C32/100),2),ROUND(J24*(1+'Parâmetros'!C32/100),2))</x:f>
        <x:v>2946.69</x:v>
      </x:c>
      <x:c r="L24" s="4" t="n">
        <x:f>IF('Parâmetros'!$B$12="truncar",ROUNDDOWN(K24*(1+'Parâmetros'!C33/100),2),ROUND(K24*(1+'Parâmetros'!C33/100),2))</x:f>
        <x:v>3005.62</x:v>
      </x:c>
      <x:c r="M24" s="4" t="n">
        <x:f>IF('Parâmetros'!$B$12="truncar",ROUNDDOWN(L24*(1+'Parâmetros'!C34/100),2),ROUND(L24*(1+'Parâmetros'!C34/100),2))</x:f>
        <x:v>3065.73</x:v>
      </x:c>
      <x:c r="N24" s="4" t="n">
        <x:f>IF('Parâmetros'!$B$12="truncar",ROUNDDOWN(M24*(1+'Parâmetros'!C35/100),2),ROUND(M24*(1+'Parâmetros'!C35/100),2))</x:f>
        <x:v>3127.04</x:v>
      </x:c>
      <x:c r="O24" s="4" t="n">
        <x:f>IF('Parâmetros'!$B$12="truncar",ROUNDDOWN(N24*(1+'Parâmetros'!C36/100),2),ROUND(N24*(1+'Parâmetros'!C36/100),2))</x:f>
        <x:v>3189.58</x:v>
      </x:c>
    </x:row>
    <x:row r="25" ht="26" customHeight="1">
      <x:c r="A25" s="2"/>
      <x:c r="B25" s="34" t="str">
        <x:v>B</x:v>
      </x:c>
      <x:c r="C25" s="37" t="str">
        <x:f> "+"&amp;TEXT('Parâmetros'!D20,"0.00")&amp;IF('Parâmetros'!C20="valor_fixo"," R$ / ","% / ")&amp;'Parâmetros'!E20</x:f>
        <x:v>+12.00% / A</x:v>
      </x:c>
      <x:c r="D25" s="38" t="n">
        <x:f>IF('Parâmetros'!$B$12="truncar",ROUNDDOWN(IF('Parâmetros'!C20="valor_fixo",SUMIF('Parâmetros'!$A$19:$A$19,'Parâmetros'!E20,$D$24:$D$24)+'Parâmetros'!D20,SUMIF('Parâmetros'!$A$19:$A$19,'Parâmetros'!E20,$D$24:$D$24)*(1+'Parâmetros'!D20/100)),2),ROUND(IF('Parâmetros'!C20="valor_fixo",SUMIF('Parâmetros'!$A$19:$A$19,'Parâmetros'!E20,$D$24:$D$24)+'Parâmetros'!D20,SUMIF('Parâmetros'!$A$19:$A$19,'Parâmetros'!E20,$D$24:$D$24)*(1+'Parâmetros'!D20/100)),2))</x:f>
        <x:v>2873.14</x:v>
      </x:c>
      <x:c r="E25" s="38" t="n">
        <x:f>IF('Parâmetros'!$B$12="truncar",ROUNDDOWN(D25*(1+'Parâmetros'!C26/100),2),ROUND(D25*(1+'Parâmetros'!C26/100),2))</x:f>
        <x:v>2930.6</x:v>
      </x:c>
      <x:c r="F25" s="38" t="n">
        <x:f>IF('Parâmetros'!$B$12="truncar",ROUNDDOWN(E25*(1+'Parâmetros'!C27/100),2),ROUND(E25*(1+'Parâmetros'!C27/100),2))</x:f>
        <x:v>2989.21</x:v>
      </x:c>
      <x:c r="G25" s="38" t="n">
        <x:f>IF('Parâmetros'!$B$12="truncar",ROUNDDOWN(F25*(1+'Parâmetros'!C28/100),2),ROUND(F25*(1+'Parâmetros'!C28/100),2))</x:f>
        <x:v>3048.99</x:v>
      </x:c>
      <x:c r="H25" s="38" t="n">
        <x:f>IF('Parâmetros'!$B$12="truncar",ROUNDDOWN(G25*(1+'Parâmetros'!C29/100),2),ROUND(G25*(1+'Parâmetros'!C29/100),2))</x:f>
        <x:v>3109.96</x:v>
      </x:c>
      <x:c r="I25" s="38" t="n">
        <x:f>IF('Parâmetros'!$B$12="truncar",ROUNDDOWN(H25*(1+'Parâmetros'!C30/100),2),ROUND(H25*(1+'Parâmetros'!C30/100),2))</x:f>
        <x:v>3172.15</x:v>
      </x:c>
      <x:c r="J25" s="38" t="n">
        <x:f>IF('Parâmetros'!$B$12="truncar",ROUNDDOWN(I25*(1+'Parâmetros'!C31/100),2),ROUND(I25*(1+'Parâmetros'!C31/100),2))</x:f>
        <x:v>3235.59</x:v>
      </x:c>
      <x:c r="K25" s="38" t="n">
        <x:f>IF('Parâmetros'!$B$12="truncar",ROUNDDOWN(J25*(1+'Parâmetros'!C32/100),2),ROUND(J25*(1+'Parâmetros'!C32/100),2))</x:f>
        <x:v>3300.3</x:v>
      </x:c>
      <x:c r="L25" s="38" t="n">
        <x:f>IF('Parâmetros'!$B$12="truncar",ROUNDDOWN(K25*(1+'Parâmetros'!C33/100),2),ROUND(K25*(1+'Parâmetros'!C33/100),2))</x:f>
        <x:v>3366.3</x:v>
      </x:c>
      <x:c r="M25" s="38" t="n">
        <x:f>IF('Parâmetros'!$B$12="truncar",ROUNDDOWN(L25*(1+'Parâmetros'!C34/100),2),ROUND(L25*(1+'Parâmetros'!C34/100),2))</x:f>
        <x:v>3433.62</x:v>
      </x:c>
      <x:c r="N25" s="38" t="n">
        <x:f>IF('Parâmetros'!$B$12="truncar",ROUNDDOWN(M25*(1+'Parâmetros'!C35/100),2),ROUND(M25*(1+'Parâmetros'!C35/100),2))</x:f>
        <x:v>3502.29</x:v>
      </x:c>
      <x:c r="O25" s="38" t="n">
        <x:f>IF('Parâmetros'!$B$12="truncar",ROUNDDOWN(N25*(1+'Parâmetros'!C36/100),2),ROUND(N25*(1+'Parâmetros'!C36/100),2))</x:f>
        <x:v>3572.33</x:v>
      </x:c>
    </x:row>
    <x:row r="26" ht="26" customHeight="1">
      <x:c r="A26" s="39"/>
      <x:c r="B26" s="39" t="str">
        <x:v>C</x:v>
      </x:c>
      <x:c r="C26" s="40" t="str">
        <x:f> "+"&amp;TEXT('Parâmetros'!D21,"0.00")&amp;IF('Parâmetros'!C21="valor_fixo"," R$ / ","% / ")&amp;'Parâmetros'!E21</x:f>
        <x:v>+27.00% / A</x:v>
      </x:c>
      <x:c r="D26" s="41" t="n">
        <x:f>IF('Parâmetros'!$B$12="truncar",ROUNDDOWN(IF('Parâmetros'!C21="valor_fixo",SUMIF('Parâmetros'!$A$19:$A$20,'Parâmetros'!E21,$D$24:$D$25)+'Parâmetros'!D21,SUMIF('Parâmetros'!$A$19:$A$20,'Parâmetros'!E21,$D$24:$D$25)*(1+'Parâmetros'!D21/100)),2),ROUND(IF('Parâmetros'!C21="valor_fixo",SUMIF('Parâmetros'!$A$19:$A$20,'Parâmetros'!E21,$D$24:$D$25)+'Parâmetros'!D21,SUMIF('Parâmetros'!$A$19:$A$20,'Parâmetros'!E21,$D$24:$D$25)*(1+'Parâmetros'!D21/100)),2))</x:f>
        <x:v>3257.94</x:v>
      </x:c>
      <x:c r="E26" s="41" t="n">
        <x:f>IF('Parâmetros'!$B$12="truncar",ROUNDDOWN(D26*(1+'Parâmetros'!C26/100),2),ROUND(D26*(1+'Parâmetros'!C26/100),2))</x:f>
        <x:v>3323.09</x:v>
      </x:c>
      <x:c r="F26" s="41" t="n">
        <x:f>IF('Parâmetros'!$B$12="truncar",ROUNDDOWN(E26*(1+'Parâmetros'!C27/100),2),ROUND(E26*(1+'Parâmetros'!C27/100),2))</x:f>
        <x:v>3389.55</x:v>
      </x:c>
      <x:c r="G26" s="41" t="n">
        <x:f>IF('Parâmetros'!$B$12="truncar",ROUNDDOWN(F26*(1+'Parâmetros'!C28/100),2),ROUND(F26*(1+'Parâmetros'!C28/100),2))</x:f>
        <x:v>3457.34</x:v>
      </x:c>
      <x:c r="H26" s="41" t="n">
        <x:f>IF('Parâmetros'!$B$12="truncar",ROUNDDOWN(G26*(1+'Parâmetros'!C29/100),2),ROUND(G26*(1+'Parâmetros'!C29/100),2))</x:f>
        <x:v>3526.48</x:v>
      </x:c>
      <x:c r="I26" s="41" t="n">
        <x:f>IF('Parâmetros'!$B$12="truncar",ROUNDDOWN(H26*(1+'Parâmetros'!C30/100),2),ROUND(H26*(1+'Parâmetros'!C30/100),2))</x:f>
        <x:v>3597</x:v>
      </x:c>
      <x:c r="J26" s="41" t="n">
        <x:f>IF('Parâmetros'!$B$12="truncar",ROUNDDOWN(I26*(1+'Parâmetros'!C31/100),2),ROUND(I26*(1+'Parâmetros'!C31/100),2))</x:f>
        <x:v>3668.94</x:v>
      </x:c>
      <x:c r="K26" s="41" t="n">
        <x:f>IF('Parâmetros'!$B$12="truncar",ROUNDDOWN(J26*(1+'Parâmetros'!C32/100),2),ROUND(J26*(1+'Parâmetros'!C32/100),2))</x:f>
        <x:v>3742.31</x:v>
      </x:c>
      <x:c r="L26" s="41" t="n">
        <x:f>IF('Parâmetros'!$B$12="truncar",ROUNDDOWN(K26*(1+'Parâmetros'!C33/100),2),ROUND(K26*(1+'Parâmetros'!C33/100),2))</x:f>
        <x:v>3817.15</x:v>
      </x:c>
      <x:c r="M26" s="41" t="n">
        <x:f>IF('Parâmetros'!$B$12="truncar",ROUNDDOWN(L26*(1+'Parâmetros'!C34/100),2),ROUND(L26*(1+'Parâmetros'!C34/100),2))</x:f>
        <x:v>3893.49</x:v>
      </x:c>
      <x:c r="N26" s="41" t="n">
        <x:f>IF('Parâmetros'!$B$12="truncar",ROUNDDOWN(M26*(1+'Parâmetros'!C35/100),2),ROUND(M26*(1+'Parâmetros'!C35/100),2))</x:f>
        <x:v>3971.35</x:v>
      </x:c>
      <x:c r="O26" s="41" t="n">
        <x:f>IF('Parâmetros'!$B$12="truncar",ROUNDDOWN(N26*(1+'Parâmetros'!C36/100),2),ROUND(N26*(1+'Parâmetros'!C36/100),2))</x:f>
        <x:v>4050.77</x:v>
      </x:c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35" customHeight="1">
      <x:c r="A29" s="12" t="str">
        <x:f>"Neste bloco: "&amp;SUMPRODUCT(--(D16:O18&lt;D24:O26))&amp;" vencimentos abaixo da referência de carreira; "&amp;COUNTIF(D16:O18,"&lt;"&amp;$D$4)&amp;" abaixo da base inicial (em vermelho)."</x:f>
        <x:v>Neste bloco: 0 vencimentos abaixo da referência de carreira; 0 abaixo da base inicial (em vermelho).</x:v>
      </x:c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8" customHeight="1">
      <x:c r="A31" s="14" t="str">
        <x:v>NÃO CONFORMIDADES EM RELAÇÃO À REFERÊNCIA</x:v>
      </x:c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 ht="24" customHeight="1">
      <x:c r="A32" s="16" t="str">
        <x:v>PROFESSOR/A — 20 HORAS</x:v>
      </x:c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</x:row>
    <x:row r="33" ht="28" customHeight="1">
      <x:c r="A33" s="19" t="str">
        <x:v>Classes →</x:v>
      </x:c>
      <x:c r="B33" s="19" t="str">
        <x:v>Nível</x:v>
      </x:c>
      <x:c r="C33" s="19" t="str">
        <x:v>Regra vertical</x:v>
      </x:c>
      <x:c r="D33" s="19" t="str">
        <x:v>1</x:v>
      </x:c>
      <x:c r="E33" s="19" t="str">
        <x:v>2</x:v>
      </x:c>
      <x:c r="F33" s="19" t="str">
        <x:v>3</x:v>
      </x:c>
      <x:c r="G33" s="19" t="str">
        <x:v>4</x:v>
      </x:c>
      <x:c r="H33" s="19" t="str">
        <x:v>5</x:v>
      </x:c>
      <x:c r="I33" s="19" t="str">
        <x:v>6</x:v>
      </x:c>
      <x:c r="J33" s="19" t="str">
        <x:v>7</x:v>
      </x:c>
      <x:c r="K33" s="19" t="str">
        <x:v>8</x:v>
      </x:c>
      <x:c r="L33" s="19" t="str">
        <x:v>9</x:v>
      </x:c>
      <x:c r="M33" s="19" t="str">
        <x:v>10</x:v>
      </x:c>
      <x:c r="N33" s="19" t="str">
        <x:v>11</x:v>
      </x:c>
      <x:c r="O33" s="19" t="str">
        <x:v>12</x:v>
      </x:c>
    </x:row>
    <x:row r="34" ht="26" customHeight="1">
      <x:c r="A34" s="2" t="str">
        <x:v>Níveis ↓</x:v>
      </x:c>
      <x:c r="B34" s="2" t="str">
        <x:v>A</x:v>
      </x:c>
      <x:c r="C34" s="2" t="str">
        <x:v>Base</x:v>
      </x:c>
      <x:c r="D34" s="4" t="n">
        <x:f>'Dados originais'!D4</x:f>
        <x:v>2565.31</x:v>
      </x:c>
      <x:c r="E34" s="4" t="n">
        <x:f>'Dados originais'!E4</x:f>
        <x:v>2616.61</x:v>
      </x:c>
      <x:c r="F34" s="4" t="n">
        <x:f>'Dados originais'!F4</x:f>
        <x:v>2668.94</x:v>
      </x:c>
      <x:c r="G34" s="4" t="n">
        <x:f>'Dados originais'!G4</x:f>
        <x:v>2722.31</x:v>
      </x:c>
      <x:c r="H34" s="4" t="n">
        <x:f>'Dados originais'!H4</x:f>
        <x:v>2776.75</x:v>
      </x:c>
      <x:c r="I34" s="4" t="n">
        <x:f>'Dados originais'!I4</x:f>
        <x:v>2832.28</x:v>
      </x:c>
      <x:c r="J34" s="4" t="n">
        <x:f>'Dados originais'!J4</x:f>
        <x:v>2888.92</x:v>
      </x:c>
      <x:c r="K34" s="4" t="n">
        <x:f>'Dados originais'!K4</x:f>
        <x:v>2946.69</x:v>
      </x:c>
      <x:c r="L34" s="4" t="n">
        <x:f>'Dados originais'!L4</x:f>
        <x:v>3005.62</x:v>
      </x:c>
      <x:c r="M34" s="4" t="n">
        <x:f>'Dados originais'!M4</x:f>
        <x:v>3065.73</x:v>
      </x:c>
      <x:c r="N34" s="4" t="n">
        <x:f>'Dados originais'!N4</x:f>
        <x:v>3127.04</x:v>
      </x:c>
      <x:c r="O34" s="4" t="n">
        <x:f>'Dados originais'!O4</x:f>
        <x:v>3189.58</x:v>
      </x:c>
    </x:row>
    <x:row r="35" ht="26" customHeight="1">
      <x:c r="A35" s="2"/>
      <x:c r="B35" s="17" t="str">
        <x:v>B</x:v>
      </x:c>
      <x:c r="C35" s="20" t="str">
        <x:f> "+"&amp;TEXT('Parâmetros'!D20,"0.00")&amp;IF('Parâmetros'!C20="valor_fixo"," R$ / ","% / ")&amp;'Parâmetros'!E20</x:f>
        <x:v>+12.00% / A</x:v>
      </x:c>
      <x:c r="D35" s="27" t="n">
        <x:f>'Dados originais'!D5</x:f>
        <x:v>2873.14</x:v>
      </x:c>
      <x:c r="E35" s="27" t="n">
        <x:f>'Dados originais'!E5</x:f>
        <x:v>2930.6</x:v>
      </x:c>
      <x:c r="F35" s="27" t="n">
        <x:f>'Dados originais'!F5</x:f>
        <x:v>2989.21</x:v>
      </x:c>
      <x:c r="G35" s="27" t="n">
        <x:f>'Dados originais'!G5</x:f>
        <x:v>3048.99</x:v>
      </x:c>
      <x:c r="H35" s="27" t="n">
        <x:f>'Dados originais'!H5</x:f>
        <x:v>3109.96</x:v>
      </x:c>
      <x:c r="I35" s="27" t="n">
        <x:f>'Dados originais'!I5</x:f>
        <x:v>3172.15</x:v>
      </x:c>
      <x:c r="J35" s="27" t="n">
        <x:f>'Dados originais'!J5</x:f>
        <x:v>3235.59</x:v>
      </x:c>
      <x:c r="K35" s="27" t="n">
        <x:f>'Dados originais'!K5</x:f>
        <x:v>3300.3</x:v>
      </x:c>
      <x:c r="L35" s="27" t="n">
        <x:f>'Dados originais'!L5</x:f>
        <x:v>3366.3</x:v>
      </x:c>
      <x:c r="M35" s="27" t="n">
        <x:f>'Dados originais'!M5</x:f>
        <x:v>3433.62</x:v>
      </x:c>
      <x:c r="N35" s="27" t="n">
        <x:f>'Dados originais'!N5</x:f>
        <x:v>3502.29</x:v>
      </x:c>
      <x:c r="O35" s="27" t="n">
        <x:f>'Dados originais'!O5</x:f>
        <x:v>3572.33</x:v>
      </x:c>
    </x:row>
    <x:row r="36" ht="26" customHeight="1">
      <x:c r="A36" s="23"/>
      <x:c r="B36" s="23" t="str">
        <x:v>C</x:v>
      </x:c>
      <x:c r="C36" s="24" t="str">
        <x:f> "+"&amp;TEXT('Parâmetros'!D21,"0.00")&amp;IF('Parâmetros'!C21="valor_fixo"," R$ / ","% / ")&amp;'Parâmetros'!E21</x:f>
        <x:v>+27.00% / A</x:v>
      </x:c>
      <x:c r="D36" s="28" t="n">
        <x:f>'Dados originais'!D6</x:f>
        <x:v>3257.94</x:v>
      </x:c>
      <x:c r="E36" s="28" t="n">
        <x:f>'Dados originais'!E6</x:f>
        <x:v>3323.09</x:v>
      </x:c>
      <x:c r="F36" s="28" t="n">
        <x:f>'Dados originais'!F6</x:f>
        <x:v>3389.55</x:v>
      </x:c>
      <x:c r="G36" s="28" t="n">
        <x:f>'Dados originais'!G6</x:f>
        <x:v>3457.34</x:v>
      </x:c>
      <x:c r="H36" s="28" t="n">
        <x:f>'Dados originais'!H6</x:f>
        <x:v>3526.48</x:v>
      </x:c>
      <x:c r="I36" s="28" t="n">
        <x:f>'Dados originais'!I6</x:f>
        <x:v>3597</x:v>
      </x:c>
      <x:c r="J36" s="28" t="n">
        <x:f>'Dados originais'!J6</x:f>
        <x:v>3668.94</x:v>
      </x:c>
      <x:c r="K36" s="28" t="n">
        <x:f>'Dados originais'!K6</x:f>
        <x:v>3742.31</x:v>
      </x:c>
      <x:c r="L36" s="28" t="n">
        <x:f>'Dados originais'!L6</x:f>
        <x:v>3817.15</x:v>
      </x:c>
      <x:c r="M36" s="28" t="n">
        <x:f>'Dados originais'!M6</x:f>
        <x:v>3893.49</x:v>
      </x:c>
      <x:c r="N36" s="28" t="n">
        <x:f>'Dados originais'!N6</x:f>
        <x:v>3971.35</x:v>
      </x:c>
      <x:c r="O36" s="28" t="n">
        <x:f>'Dados originais'!O6</x:f>
        <x:v>4050.77</x:v>
      </x:c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8" customHeight="1">
      <x:c r="A39" s="44" t="str">
        <x:v>• DEFASAGEM SALARIAL MENSAL •</x:v>
      </x:c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24" customHeight="1">
      <x:c r="A40" s="46" t="str">
        <x:v>PROFESSOR/A — 20 HORAS</x:v>
      </x:c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</x:row>
    <x:row r="41" ht="28" customHeight="1">
      <x:c r="A41" s="49" t="str">
        <x:v>Classes →</x:v>
      </x:c>
      <x:c r="B41" s="49" t="str">
        <x:v>Nível</x:v>
      </x:c>
      <x:c r="C41" s="49" t="str">
        <x:v>Regra vertical</x:v>
      </x:c>
      <x:c r="D41" s="49" t="str">
        <x:v>1</x:v>
      </x:c>
      <x:c r="E41" s="49" t="str">
        <x:v>2</x:v>
      </x:c>
      <x:c r="F41" s="49" t="str">
        <x:v>3</x:v>
      </x:c>
      <x:c r="G41" s="49" t="str">
        <x:v>4</x:v>
      </x:c>
      <x:c r="H41" s="49" t="str">
        <x:v>5</x:v>
      </x:c>
      <x:c r="I41" s="49" t="str">
        <x:v>6</x:v>
      </x:c>
      <x:c r="J41" s="49" t="str">
        <x:v>7</x:v>
      </x:c>
      <x:c r="K41" s="49" t="str">
        <x:v>8</x:v>
      </x:c>
      <x:c r="L41" s="49" t="str">
        <x:v>9</x:v>
      </x:c>
      <x:c r="M41" s="49" t="str">
        <x:v>10</x:v>
      </x:c>
      <x:c r="N41" s="49" t="str">
        <x:v>11</x:v>
      </x:c>
      <x:c r="O41" s="49" t="str">
        <x:v>12</x:v>
      </x:c>
    </x:row>
    <x:row r="42" ht="26" customHeight="1">
      <x:c r="A42" s="2" t="str">
        <x:v>Níveis ↓</x:v>
      </x:c>
      <x:c r="B42" s="2" t="str">
        <x:v>A</x:v>
      </x:c>
      <x:c r="C42" s="2" t="str">
        <x:v>Base</x:v>
      </x:c>
      <x:c r="D42" s="4" t="n">
        <x:f>D16-D24</x:f>
        <x:v>0</x:v>
      </x:c>
      <x:c r="E42" s="4" t="n">
        <x:f>E16-E24</x:f>
        <x:v>0</x:v>
      </x:c>
      <x:c r="F42" s="4" t="n">
        <x:f>F16-F24</x:f>
        <x:v>0</x:v>
      </x:c>
      <x:c r="G42" s="4" t="n">
        <x:f>G16-G24</x:f>
        <x:v>0</x:v>
      </x:c>
      <x:c r="H42" s="4" t="n">
        <x:f>H16-H24</x:f>
        <x:v>0</x:v>
      </x:c>
      <x:c r="I42" s="4" t="n">
        <x:f>I16-I24</x:f>
        <x:v>0</x:v>
      </x:c>
      <x:c r="J42" s="4" t="n">
        <x:f>J16-J24</x:f>
        <x:v>0</x:v>
      </x:c>
      <x:c r="K42" s="4" t="n">
        <x:f>K16-K24</x:f>
        <x:v>0</x:v>
      </x:c>
      <x:c r="L42" s="4" t="n">
        <x:f>L16-L24</x:f>
        <x:v>0</x:v>
      </x:c>
      <x:c r="M42" s="4" t="n">
        <x:f>M16-M24</x:f>
        <x:v>0</x:v>
      </x:c>
      <x:c r="N42" s="4" t="n">
        <x:f>N16-N24</x:f>
        <x:v>0</x:v>
      </x:c>
      <x:c r="O42" s="4" t="n">
        <x:f>O16-O24</x:f>
        <x:v>0</x:v>
      </x:c>
    </x:row>
    <x:row r="43" ht="26" customHeight="1">
      <x:c r="A43" s="2"/>
      <x:c r="B43" s="47" t="str">
        <x:v>B</x:v>
      </x:c>
      <x:c r="C43" s="50" t="str">
        <x:f> "+"&amp;TEXT('Parâmetros'!D20,"0.00")&amp;IF('Parâmetros'!C20="valor_fixo"," R$ / ","% / ")&amp;'Parâmetros'!E20</x:f>
        <x:v>+12.00% / A</x:v>
      </x:c>
      <x:c r="D43" s="51" t="n">
        <x:f>D17-D25</x:f>
        <x:v>0</x:v>
      </x:c>
      <x:c r="E43" s="51" t="n">
        <x:f>E17-E25</x:f>
        <x:v>0</x:v>
      </x:c>
      <x:c r="F43" s="51" t="n">
        <x:f>F17-F25</x:f>
        <x:v>0</x:v>
      </x:c>
      <x:c r="G43" s="51" t="n">
        <x:f>G17-G25</x:f>
        <x:v>0</x:v>
      </x:c>
      <x:c r="H43" s="51" t="n">
        <x:f>H17-H25</x:f>
        <x:v>0</x:v>
      </x:c>
      <x:c r="I43" s="51" t="n">
        <x:f>I17-I25</x:f>
        <x:v>0</x:v>
      </x:c>
      <x:c r="J43" s="51" t="n">
        <x:f>J17-J25</x:f>
        <x:v>0</x:v>
      </x:c>
      <x:c r="K43" s="51" t="n">
        <x:f>K17-K25</x:f>
        <x:v>0</x:v>
      </x:c>
      <x:c r="L43" s="51" t="n">
        <x:f>L17-L25</x:f>
        <x:v>0</x:v>
      </x:c>
      <x:c r="M43" s="51" t="n">
        <x:f>M17-M25</x:f>
        <x:v>0</x:v>
      </x:c>
      <x:c r="N43" s="51" t="n">
        <x:f>N17-N25</x:f>
        <x:v>0</x:v>
      </x:c>
      <x:c r="O43" s="51" t="n">
        <x:f>O17-O25</x:f>
        <x:v>0</x:v>
      </x:c>
    </x:row>
    <x:row r="44" ht="26" customHeight="1">
      <x:c r="A44" s="52"/>
      <x:c r="B44" s="52" t="str">
        <x:v>C</x:v>
      </x:c>
      <x:c r="C44" s="53" t="str">
        <x:f> "+"&amp;TEXT('Parâmetros'!D21,"0.00")&amp;IF('Parâmetros'!C21="valor_fixo"," R$ / ","% / ")&amp;'Parâmetros'!E21</x:f>
        <x:v>+27.00% / A</x:v>
      </x:c>
      <x:c r="D44" s="54" t="n">
        <x:f>D18-D26</x:f>
        <x:v>0</x:v>
      </x:c>
      <x:c r="E44" s="54" t="n">
        <x:f>E18-E26</x:f>
        <x:v>0</x:v>
      </x:c>
      <x:c r="F44" s="54" t="n">
        <x:f>F18-F26</x:f>
        <x:v>0</x:v>
      </x:c>
      <x:c r="G44" s="54" t="n">
        <x:f>G18-G26</x:f>
        <x:v>0</x:v>
      </x:c>
      <x:c r="H44" s="54" t="n">
        <x:f>H18-H26</x:f>
        <x:v>0</x:v>
      </x:c>
      <x:c r="I44" s="54" t="n">
        <x:f>I18-I26</x:f>
        <x:v>0</x:v>
      </x:c>
      <x:c r="J44" s="54" t="n">
        <x:f>J18-J26</x:f>
        <x:v>0</x:v>
      </x:c>
      <x:c r="K44" s="54" t="n">
        <x:f>K18-K26</x:f>
        <x:v>0</x:v>
      </x:c>
      <x:c r="L44" s="54" t="n">
        <x:f>L18-L26</x:f>
        <x:v>0</x:v>
      </x:c>
      <x:c r="M44" s="54" t="n">
        <x:f>M18-M26</x:f>
        <x:v>0</x:v>
      </x:c>
      <x:c r="N44" s="54" t="n">
        <x:f>N18-N26</x:f>
        <x:v>0</x:v>
      </x:c>
      <x:c r="O44" s="54" t="n">
        <x:f>O18-O26</x:f>
        <x:v>0</x:v>
      </x:c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30" customHeight="1">
      <x:c r="A47" s="12" t="str">
        <x:v>Defasagem = referência ÷ atual − 1. Diferença mensal = atual − referência; negativa indica valor abaixo da referência.</x:v>
      </x:c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30" customHeight="1">
      <x:c r="A49" s="60" t="str">
        <x:v>DEFASAGEM SALARIAL EM RELAÇÃO À REFERÊNCIA</x:v>
      </x:c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1" t="n">
        <x:f>D24/D16-1</x:f>
        <x:v>0</x:v>
      </x:c>
      <x:c r="M49" s="60"/>
      <x:c r="N49" s="60"/>
      <x:c r="O49" s="60"/>
    </x:row>
    <x:row r="50" ht="24" customHeight="1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32" customHeight="1">
      <x:c r="A54" s="12" t="str">
        <x:v>Níveis: A — Magistério; B — Licenciatura Plena; C — Especialização</x:v>
      </x:c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</x:row>
  </x:sheetData>
  <x:mergeCells>
    <x:mergeCell ref="A1:O1"/>
    <x:mergeCell ref="A2:O2"/>
    <x:mergeCell ref="A3:O3"/>
    <x:mergeCell ref="A4:C4"/>
    <x:mergeCell ref="A5:O5"/>
    <x:mergeCell ref="A6:O6"/>
    <x:mergeCell ref="A8:A10"/>
    <x:mergeCell ref="A13:O13"/>
    <x:mergeCell ref="A14:O14"/>
    <x:mergeCell ref="A16:A18"/>
    <x:mergeCell ref="A21:O21"/>
    <x:mergeCell ref="A22:O22"/>
    <x:mergeCell ref="A24:A26"/>
    <x:mergeCell ref="A29:O29"/>
    <x:mergeCell ref="A31:O31"/>
    <x:mergeCell ref="A32:O32"/>
    <x:mergeCell ref="A34:A36"/>
    <x:mergeCell ref="A39:O39"/>
    <x:mergeCell ref="A40:O40"/>
    <x:mergeCell ref="A42:A44"/>
    <x:mergeCell ref="A47:O47"/>
    <x:mergeCell ref="A49:K50"/>
    <x:mergeCell ref="L49:O50"/>
    <x:mergeCell ref="A54:O54"/>
  </x:mergeCells>
  <x:conditionalFormatting sqref="D16:O16">
    <x:cfRule type="expression" dxfId="0" priority="1">
      <x:formula>D16&lt;$D$4</x:formula>
    </x:cfRule>
  </x:conditionalFormatting>
  <x:conditionalFormatting sqref="D17:O17">
    <x:cfRule type="expression" dxfId="1" priority="2">
      <x:formula>D17&lt;$D$4</x:formula>
    </x:cfRule>
  </x:conditionalFormatting>
  <x:conditionalFormatting sqref="D18:O18">
    <x:cfRule type="expression" dxfId="2" priority="3">
      <x:formula>D18&lt;$D$4</x:formula>
    </x:cfRule>
  </x:conditionalFormatting>
  <x:conditionalFormatting sqref="D34:O34">
    <x:cfRule type="expression" dxfId="3" priority="4">
      <x:formula>D34&lt;$D$4</x:formula>
    </x:cfRule>
  </x:conditionalFormatting>
  <x:conditionalFormatting sqref="D35:O35">
    <x:cfRule type="expression" dxfId="4" priority="5">
      <x:formula>D35&lt;$D$4</x:formula>
    </x:cfRule>
  </x:conditionalFormatting>
  <x:conditionalFormatting sqref="D36:O36">
    <x:cfRule type="expression" dxfId="5" priority="6">
      <x:formula>D36&lt;$D$4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9" hidden="0" customWidth="1"/>
    <x:col min="3" max="3" width="25" hidden="0" customWidth="1"/>
    <x:col min="4" max="4" width="23" hidden="0" customWidth="1"/>
    <x:col min="5" max="5" width="19" hidden="0" customWidth="1"/>
    <x:col min="6" max="6" width="24" hidden="0" customWidth="1"/>
  </x:cols>
  <x:sheetData>
    <x:row r="1" ht="26" customHeight="1">
      <x:c r="A1" s="31" t="str">
        <x:v>PARÂMETROS DA COMPARAÇÃO</x:v>
      </x:c>
      <x:c r="B1" s="31"/>
      <x:c r="C1" s="31"/>
      <x:c r="D1" s="31"/>
      <x:c r="E1" s="31"/>
      <x:c r="F1" s="31"/>
    </x:row>
    <x:row r="2" ht="22" customHeight="1">
      <x:c r="A2" s="2"/>
      <x:c r="B2" s="2"/>
      <x:c r="C2" s="2"/>
      <x:c r="D2" s="2"/>
      <x:c r="E2" s="2"/>
      <x:c r="F2" s="2"/>
    </x:row>
    <x:row r="3" ht="22" customHeight="1">
      <x:c r="A3" s="2" t="str">
        <x:v>Município</x:v>
      </x:c>
      <x:c r="B3" s="68" t="str">
        <x:v>Cafezal do Sul</x:v>
      </x:c>
      <x:c r="C3" s="2"/>
      <x:c r="D3" s="2"/>
      <x:c r="E3" s="2"/>
      <x:c r="F3" s="2"/>
    </x:row>
    <x:row r="4" ht="32" customHeight="1">
      <x:c r="A4" s="2" t="str">
        <x:v>Profissão/cargo</x:v>
      </x:c>
      <x:c r="B4" s="68" t="str">
        <x:v>Professor/a</x:v>
      </x:c>
      <x:c r="C4" s="2"/>
      <x:c r="D4" s="2"/>
      <x:c r="E4" s="2"/>
      <x:c r="F4" s="2"/>
    </x:row>
    <x:row r="5" ht="22" customHeight="1">
      <x:c r="A5" s="2" t="str">
        <x:v>Ano</x:v>
      </x:c>
      <x:c r="B5" s="69" t="n">
        <x:v>2026</x:v>
      </x:c>
      <x:c r="C5" s="2"/>
      <x:c r="D5" s="2"/>
      <x:c r="E5" s="2"/>
      <x:c r="F5" s="2"/>
    </x:row>
    <x:row r="6" ht="22" customHeight="1">
      <x:c r="A6" s="2" t="str">
        <x:v>Jornada do cargo (h/semana)</x:v>
      </x:c>
      <x:c r="B6" s="69" t="n">
        <x:v>20</x:v>
      </x:c>
      <x:c r="C6" s="2"/>
      <x:c r="D6" s="2"/>
      <x:c r="E6" s="2"/>
      <x:c r="F6" s="2"/>
    </x:row>
    <x:row r="7" ht="32" customHeight="1">
      <x:c r="A7" s="2" t="str">
        <x:v>Tipo da referência</x:v>
      </x:c>
      <x:c r="B7" s="68" t="str">
        <x:v>pspn</x:v>
      </x:c>
      <x:c r="C7" s="2"/>
      <x:c r="D7" s="2"/>
      <x:c r="E7" s="2"/>
      <x:c r="F7" s="2"/>
    </x:row>
    <x:row r="8" ht="32" customHeight="1">
      <x:c r="A8" s="2" t="str">
        <x:v>Nome da referência</x:v>
      </x:c>
      <x:c r="B8" s="68" t="str">
        <x:v>PSPN 2026</x:v>
      </x:c>
      <x:c r="C8" s="2"/>
      <x:c r="D8" s="2"/>
      <x:c r="E8" s="2"/>
      <x:c r="F8" s="2"/>
    </x:row>
    <x:row r="9" ht="22" customHeight="1">
      <x:c r="A9" s="2" t="str">
        <x:v>Valor da referência</x:v>
      </x:c>
      <x:c r="B9" s="73" t="n">
        <x:v>5130.63</x:v>
      </x:c>
      <x:c r="C9" s="2"/>
      <x:c r="D9" s="2"/>
      <x:c r="E9" s="2"/>
      <x:c r="F9" s="2"/>
    </x:row>
    <x:row r="10" ht="22" customHeight="1">
      <x:c r="A10" s="2" t="str">
        <x:v>Jornada da referência</x:v>
      </x:c>
      <x:c r="B10" s="69" t="n">
        <x:v>40</x:v>
      </x:c>
      <x:c r="C10" s="2"/>
      <x:c r="D10" s="2"/>
      <x:c r="E10" s="2"/>
      <x:c r="F10" s="2"/>
    </x:row>
    <x:row r="11" ht="32" customHeight="1">
      <x:c r="A11" s="2" t="str">
        <x:v>Proporcionalidade autorizada</x:v>
      </x:c>
      <x:c r="B11" s="68" t="str">
        <x:v>sim</x:v>
      </x:c>
      <x:c r="C11" s="2"/>
      <x:c r="D11" s="2"/>
      <x:c r="E11" s="2"/>
      <x:c r="F11" s="2"/>
    </x:row>
    <x:row r="12" ht="32" customHeight="1">
      <x:c r="A12" s="2" t="str">
        <x:v>Tratamento dos centavos</x:v>
      </x:c>
      <x:c r="B12" s="68" t="str">
        <x:v>truncar</x:v>
      </x:c>
      <x:c r="C12" s="2"/>
      <x:c r="D12" s="2"/>
      <x:c r="E12" s="2"/>
      <x:c r="F12" s="2"/>
    </x:row>
    <x:row r="13" ht="22" customHeight="1">
      <x:c r="A13" s="2" t="str">
        <x:v>Referência proporcional</x:v>
      </x:c>
      <x:c r="B13" s="70" t="n">
        <x:f>IF(B12="truncar",ROUNDDOWN(IF(B11="sim",B9*B6/B10,B9),2),ROUND(IF(B11="sim",B9*B6/B10,B9),2))</x:f>
        <x:v>2565.31</x:v>
      </x:c>
      <x:c r="C13" s="2"/>
      <x:c r="D13" s="2"/>
      <x:c r="E13" s="2"/>
      <x:c r="F13" s="2"/>
    </x:row>
    <x:row r="14" ht="22" customHeight="1">
      <x:c r="A14" s="2" t="str">
        <x:v>Ano da referência</x:v>
      </x:c>
      <x:c r="B14" s="69" t="n">
        <x:v>2026</x:v>
      </x:c>
      <x:c r="C14" s="2"/>
      <x:c r="D14" s="2"/>
      <x:c r="E14" s="2"/>
      <x:c r="F14" s="2"/>
    </x:row>
    <x:row r="15" ht="22" customHeight="1">
      <x:c r="A15" s="2" t="str">
        <x:v>Tolerância estrutural (R$)</x:v>
      </x:c>
      <x:c r="B15" s="69" t="n">
        <x:v>0.01</x:v>
      </x:c>
      <x:c r="C15" s="2"/>
      <x:c r="D15" s="2"/>
      <x:c r="E15" s="2"/>
      <x:c r="F15" s="2"/>
    </x:row>
    <x:row r="16" ht="22" customHeight="1">
      <x:c r="A16" s="2" t="str">
        <x:v>Coerência de ano/jornada</x:v>
      </x:c>
      <x:c r="B16" s="7" t="str">
        <x:f>IF(AND(B5=B14,OR(B11="sim",B6=B10)),"OK","REVISAR ANO/JORNADA")</x:f>
        <x:v>OK</x:v>
      </x:c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 t="str">
        <x:v>Nível</x:v>
      </x:c>
      <x:c r="B18" s="2" t="str">
        <x:v>Descrição</x:v>
      </x:c>
      <x:c r="C18" s="2" t="str">
        <x:v>Regra vertical</x:v>
      </x:c>
      <x:c r="D18" s="2" t="str">
        <x:v>Valor (% ou R$)</x:v>
      </x:c>
      <x:c r="E18" s="2" t="str">
        <x:v>Sobre o nível</x:v>
      </x:c>
      <x:c r="F18" s="2"/>
    </x:row>
    <x:row r="19" ht="22" customHeight="1">
      <x:c r="A19" s="2" t="str">
        <x:v>A</x:v>
      </x:c>
      <x:c r="B19" s="2" t="str">
        <x:v>Magistério</x:v>
      </x:c>
      <x:c r="C19" s="2" t="str">
        <x:v>base</x:v>
      </x:c>
      <x:c r="D19" s="7" t="n">
        <x:v>0</x:v>
      </x:c>
      <x:c r="E19" s="2" t="str"/>
      <x:c r="F19" s="2"/>
    </x:row>
    <x:row r="20" ht="22" customHeight="1">
      <x:c r="A20" s="2" t="str">
        <x:v>B</x:v>
      </x:c>
      <x:c r="B20" s="2" t="str">
        <x:v>Licenciatura Plena</x:v>
      </x:c>
      <x:c r="C20" s="2" t="str">
        <x:v>percentual</x:v>
      </x:c>
      <x:c r="D20" s="7" t="n">
        <x:v>12</x:v>
      </x:c>
      <x:c r="E20" s="2" t="str">
        <x:v>A</x:v>
      </x:c>
      <x:c r="F20" s="2"/>
    </x:row>
    <x:row r="21" ht="22" customHeight="1">
      <x:c r="A21" s="2" t="str">
        <x:v>C</x:v>
      </x:c>
      <x:c r="B21" s="2" t="str">
        <x:v>Especialização</x:v>
      </x:c>
      <x:c r="C21" s="2" t="str">
        <x:v>percentual</x:v>
      </x:c>
      <x:c r="D21" s="7" t="n">
        <x:v>27</x:v>
      </x:c>
      <x:c r="E21" s="2" t="str">
        <x:v>A</x:v>
      </x:c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 t="str">
        <x:v>Classe de origem</x:v>
      </x:c>
      <x:c r="B25" s="2" t="str">
        <x:v>Classe de destino</x:v>
      </x:c>
      <x:c r="C25" s="2" t="str">
        <x:v>Progressão (%)</x:v>
      </x:c>
      <x:c r="D25" s="2"/>
      <x:c r="E25" s="2"/>
      <x:c r="F25" s="2"/>
    </x:row>
    <x:row r="26" ht="22" customHeight="1">
      <x:c r="A26" s="2" t="str">
        <x:v>1</x:v>
      </x:c>
      <x:c r="B26" s="2" t="str">
        <x:v>2</x:v>
      </x:c>
      <x:c r="C26" s="7" t="n">
        <x:v>2</x:v>
      </x:c>
      <x:c r="D26" s="2"/>
      <x:c r="E26" s="2"/>
      <x:c r="F26" s="2"/>
    </x:row>
    <x:row r="27" ht="22" customHeight="1">
      <x:c r="A27" s="2" t="str">
        <x:v>2</x:v>
      </x:c>
      <x:c r="B27" s="2" t="str">
        <x:v>3</x:v>
      </x:c>
      <x:c r="C27" s="7" t="n">
        <x:v>2</x:v>
      </x:c>
      <x:c r="D27" s="2"/>
      <x:c r="E27" s="2"/>
      <x:c r="F27" s="2"/>
    </x:row>
    <x:row r="28" ht="22" customHeight="1">
      <x:c r="A28" s="2" t="str">
        <x:v>3</x:v>
      </x:c>
      <x:c r="B28" s="2" t="str">
        <x:v>4</x:v>
      </x:c>
      <x:c r="C28" s="7" t="n">
        <x:v>2</x:v>
      </x:c>
      <x:c r="D28" s="2"/>
      <x:c r="E28" s="2"/>
      <x:c r="F28" s="2"/>
    </x:row>
    <x:row r="29" ht="22" customHeight="1">
      <x:c r="A29" s="2" t="str">
        <x:v>4</x:v>
      </x:c>
      <x:c r="B29" s="2" t="str">
        <x:v>5</x:v>
      </x:c>
      <x:c r="C29" s="7" t="n">
        <x:v>2</x:v>
      </x:c>
      <x:c r="D29" s="2"/>
      <x:c r="E29" s="2"/>
      <x:c r="F29" s="2"/>
    </x:row>
    <x:row r="30" ht="22" customHeight="1">
      <x:c r="A30" s="2" t="str">
        <x:v>5</x:v>
      </x:c>
      <x:c r="B30" s="2" t="str">
        <x:v>6</x:v>
      </x:c>
      <x:c r="C30" s="7" t="n">
        <x:v>2</x:v>
      </x:c>
      <x:c r="D30" s="2"/>
      <x:c r="E30" s="2"/>
      <x:c r="F30" s="2"/>
    </x:row>
    <x:row r="31" ht="22" customHeight="1">
      <x:c r="A31" s="2" t="str">
        <x:v>6</x:v>
      </x:c>
      <x:c r="B31" s="2" t="str">
        <x:v>7</x:v>
      </x:c>
      <x:c r="C31" s="7" t="n">
        <x:v>2</x:v>
      </x:c>
      <x:c r="D31" s="2"/>
      <x:c r="E31" s="2"/>
      <x:c r="F31" s="2"/>
    </x:row>
    <x:row r="32" ht="22" customHeight="1">
      <x:c r="A32" s="2" t="str">
        <x:v>7</x:v>
      </x:c>
      <x:c r="B32" s="2" t="str">
        <x:v>8</x:v>
      </x:c>
      <x:c r="C32" s="7" t="n">
        <x:v>2</x:v>
      </x:c>
      <x:c r="D32" s="2"/>
      <x:c r="E32" s="2"/>
      <x:c r="F32" s="2"/>
    </x:row>
    <x:row r="33" ht="22" customHeight="1">
      <x:c r="A33" s="2" t="str">
        <x:v>8</x:v>
      </x:c>
      <x:c r="B33" s="2" t="str">
        <x:v>9</x:v>
      </x:c>
      <x:c r="C33" s="7" t="n">
        <x:v>2</x:v>
      </x:c>
      <x:c r="D33" s="2"/>
      <x:c r="E33" s="2"/>
      <x:c r="F33" s="2"/>
    </x:row>
    <x:row r="34" ht="22" customHeight="1">
      <x:c r="A34" s="2" t="str">
        <x:v>9</x:v>
      </x:c>
      <x:c r="B34" s="2" t="str">
        <x:v>10</x:v>
      </x:c>
      <x:c r="C34" s="7" t="n">
        <x:v>2</x:v>
      </x:c>
      <x:c r="D34" s="2"/>
      <x:c r="E34" s="2"/>
      <x:c r="F34" s="2"/>
    </x:row>
    <x:row r="35" ht="22" customHeight="1">
      <x:c r="A35" s="2" t="str">
        <x:v>10</x:v>
      </x:c>
      <x:c r="B35" s="2" t="str">
        <x:v>11</x:v>
      </x:c>
      <x:c r="C35" s="7" t="n">
        <x:v>2</x:v>
      </x:c>
      <x:c r="D35" s="2"/>
      <x:c r="E35" s="2"/>
      <x:c r="F35" s="2"/>
    </x:row>
    <x:row r="36" ht="22" customHeight="1">
      <x:c r="A36" s="2" t="str">
        <x:v>11</x:v>
      </x:c>
      <x:c r="B36" s="2" t="str">
        <x:v>12</x:v>
      </x:c>
      <x:c r="C36" s="7" t="n">
        <x:v>2</x:v>
      </x:c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45" customHeight="1">
      <x:c r="A39" s="12" t="str">
        <x:v>Cenário/consultoria é uma referência analítica. PSPN é exclusivo do magistério. Alterar profissão, ano ou jornada exige revisar a referência e sua fonte.</x:v>
      </x:c>
      <x:c r="B39" s="12"/>
      <x:c r="C39" s="12"/>
      <x:c r="D39" s="12"/>
      <x:c r="E39" s="12"/>
      <x:c r="F39" s="12"/>
    </x:row>
  </x:sheetData>
  <x:mergeCells>
    <x:mergeCell ref="A1:F1"/>
    <x:mergeCell ref="A39:F39"/>
  </x:mergeCells>
  <x:dataValidations count="1">
    <x:dataValidation type="list" sqref="B12">
      <x:formula1>"arredondar,truncar"</x:formula1>
    </x:dataValidation>
  </x:dataValidations>
  <x:pageMargins left="0.7" right="0.7" top="0.75" bottom="0.75" header="0.3" footer="0.3"/>
  <x:legacyDrawing xmlns:r="http://schemas.openxmlformats.org/officeDocument/2006/relationships" r:id="Re6497eb9040d461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6" customHeight="1">
      <x:c r="A1" s="14" t="str">
        <x:v>TABELA MUNICIPAL TRANSCRITA — VALORES DE ENTRADA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 t="str">
        <x:v>Nível</x:v>
      </x:c>
      <x:c r="B3" s="2" t="str">
        <x:v>Descrição</x:v>
      </x:c>
      <x:c r="C3" s="2" t="str">
        <x:v>Regra vertical</x:v>
      </x:c>
      <x:c r="D3" s="2" t="str">
        <x:v>1</x:v>
      </x:c>
      <x:c r="E3" s="2" t="str">
        <x:v>2</x:v>
      </x:c>
      <x:c r="F3" s="2" t="str">
        <x:v>3</x:v>
      </x:c>
      <x:c r="G3" s="2" t="str">
        <x:v>4</x:v>
      </x:c>
      <x:c r="H3" s="2" t="str">
        <x:v>5</x:v>
      </x:c>
      <x:c r="I3" s="2" t="str">
        <x:v>6</x:v>
      </x:c>
      <x:c r="J3" s="2" t="str">
        <x:v>7</x:v>
      </x:c>
      <x:c r="K3" s="2" t="str">
        <x:v>8</x:v>
      </x:c>
      <x:c r="L3" s="2" t="str">
        <x:v>9</x:v>
      </x:c>
      <x:c r="M3" s="2" t="str">
        <x:v>10</x:v>
      </x:c>
      <x:c r="N3" s="2" t="str">
        <x:v>11</x:v>
      </x:c>
      <x:c r="O3" s="2" t="str">
        <x:v>12</x:v>
      </x:c>
    </x:row>
    <x:row r="4" ht="22" customHeight="1">
      <x:c r="A4" s="2" t="str">
        <x:v>A</x:v>
      </x:c>
      <x:c r="B4" s="2" t="str">
        <x:v>Magistério</x:v>
      </x:c>
      <x:c r="C4" s="2" t="str">
        <x:v>base</x:v>
      </x:c>
      <x:c r="D4" s="71" t="n">
        <x:v>2565.31</x:v>
      </x:c>
      <x:c r="E4" s="71" t="n">
        <x:v>2616.61</x:v>
      </x:c>
      <x:c r="F4" s="71" t="n">
        <x:v>2668.94</x:v>
      </x:c>
      <x:c r="G4" s="71" t="n">
        <x:v>2722.31</x:v>
      </x:c>
      <x:c r="H4" s="71" t="n">
        <x:v>2776.75</x:v>
      </x:c>
      <x:c r="I4" s="71" t="n">
        <x:v>2832.28</x:v>
      </x:c>
      <x:c r="J4" s="71" t="n">
        <x:v>2888.92</x:v>
      </x:c>
      <x:c r="K4" s="71" t="n">
        <x:v>2946.69</x:v>
      </x:c>
      <x:c r="L4" s="71" t="n">
        <x:v>3005.62</x:v>
      </x:c>
      <x:c r="M4" s="71" t="n">
        <x:v>3065.73</x:v>
      </x:c>
      <x:c r="N4" s="71" t="n">
        <x:v>3127.04</x:v>
      </x:c>
      <x:c r="O4" s="71" t="n">
        <x:v>3189.58</x:v>
      </x:c>
    </x:row>
    <x:row r="5" ht="22" customHeight="1">
      <x:c r="A5" s="2" t="str">
        <x:v>B</x:v>
      </x:c>
      <x:c r="B5" s="2" t="str">
        <x:v>Licenciatura Plena</x:v>
      </x:c>
      <x:c r="C5" s="2" t="str">
        <x:v>percentual</x:v>
      </x:c>
      <x:c r="D5" s="71" t="n">
        <x:v>2873.14</x:v>
      </x:c>
      <x:c r="E5" s="71" t="n">
        <x:v>2930.6</x:v>
      </x:c>
      <x:c r="F5" s="71" t="n">
        <x:v>2989.21</x:v>
      </x:c>
      <x:c r="G5" s="71" t="n">
        <x:v>3048.99</x:v>
      </x:c>
      <x:c r="H5" s="71" t="n">
        <x:v>3109.96</x:v>
      </x:c>
      <x:c r="I5" s="71" t="n">
        <x:v>3172.15</x:v>
      </x:c>
      <x:c r="J5" s="71" t="n">
        <x:v>3235.59</x:v>
      </x:c>
      <x:c r="K5" s="71" t="n">
        <x:v>3300.3</x:v>
      </x:c>
      <x:c r="L5" s="71" t="n">
        <x:v>3366.3</x:v>
      </x:c>
      <x:c r="M5" s="71" t="n">
        <x:v>3433.62</x:v>
      </x:c>
      <x:c r="N5" s="71" t="n">
        <x:v>3502.29</x:v>
      </x:c>
      <x:c r="O5" s="71" t="n">
        <x:v>3572.33</x:v>
      </x:c>
    </x:row>
    <x:row r="6" ht="22" customHeight="1">
      <x:c r="A6" s="2" t="str">
        <x:v>C</x:v>
      </x:c>
      <x:c r="B6" s="2" t="str">
        <x:v>Especialização</x:v>
      </x:c>
      <x:c r="C6" s="2" t="str">
        <x:v>percentual</x:v>
      </x:c>
      <x:c r="D6" s="71" t="n">
        <x:v>3257.94</x:v>
      </x:c>
      <x:c r="E6" s="71" t="n">
        <x:v>3323.09</x:v>
      </x:c>
      <x:c r="F6" s="71" t="n">
        <x:v>3389.55</x:v>
      </x:c>
      <x:c r="G6" s="71" t="n">
        <x:v>3457.34</x:v>
      </x:c>
      <x:c r="H6" s="71" t="n">
        <x:v>3526.48</x:v>
      </x:c>
      <x:c r="I6" s="71" t="n">
        <x:v>3597</x:v>
      </x:c>
      <x:c r="J6" s="71" t="n">
        <x:v>3668.94</x:v>
      </x:c>
      <x:c r="K6" s="71" t="n">
        <x:v>3742.31</x:v>
      </x:c>
      <x:c r="L6" s="71" t="n">
        <x:v>3817.15</x:v>
      </x:c>
      <x:c r="M6" s="71" t="n">
        <x:v>3893.49</x:v>
      </x:c>
      <x:c r="N6" s="71" t="n">
        <x:v>3971.35</x:v>
      </x:c>
      <x:c r="O6" s="71" t="n">
        <x:v>4050.77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25" hidden="0" customWidth="1"/>
  </x:cols>
  <x:sheetData>
    <x:row r="1" ht="26" customHeight="1">
      <x:c r="A1" s="31" t="str">
        <x:v>FONTES E DECISÕES ADOTADAS</x:v>
      </x:c>
      <x:c r="B1" s="31"/>
      <x:c r="C1" s="31"/>
    </x:row>
    <x:row r="2" ht="22" customHeight="1">
      <x:c r="A2" s="2"/>
      <x:c r="B2" s="2"/>
      <x:c r="C2" s="2"/>
    </x:row>
    <x:row r="3" ht="48" customHeight="1">
      <x:c r="A3" s="72" t="str">
        <x:v>Organização</x:v>
      </x:c>
      <x:c r="B3" s="72" t="str">
        <x:v>Jornada (2).pdf, páginas impressas 9–11: estrutura, atual verde, referência roxa, não conformidades, diferenças e defasagem em vermelho.</x:v>
      </x:c>
      <x:c r="C3" s="72"/>
    </x:row>
    <x:row r="4" ht="48" customHeight="1">
      <x:c r="A4" s="72" t="str">
        <x:v>Tabela municipal</x:v>
      </x:c>
      <x:c r="B4" s="72" t="str">
        <x:v>ANEXO A - LC 064.2026 MAGIST.doc</x:v>
      </x:c>
      <x:c r="C4" s="72"/>
    </x:row>
    <x:row r="5" ht="48" customHeight="1">
      <x:c r="A5" s="72" t="str">
        <x:v>URL tabela</x:v>
      </x:c>
      <x:c r="B5" s="72" t="str">
        <x:v>Documento municipal enviado pelo professor: Anexo A da LC 064/2026</x:v>
      </x:c>
      <x:c r="C5" s="72"/>
    </x:row>
    <x:row r="6" ht="48" customHeight="1">
      <x:c r="A6" s="72" t="str">
        <x:v>Referência</x:v>
      </x:c>
      <x:c r="B6" s="72" t="str">
        <x:v>Lei Federal nº 15.437/2026</x:v>
      </x:c>
      <x:c r="C6" s="72"/>
    </x:row>
    <x:row r="7" ht="48" customHeight="1">
      <x:c r="A7" s="72" t="str">
        <x:v>URL referência</x:v>
      </x:c>
      <x:c r="B7" s="72" t="str">
        <x:v>https://www.planalto.gov.br/ccivil_03/_ato2023-2026/2026/lei/l15437.htm</x:v>
      </x:c>
      <x:c r="C7" s="72"/>
    </x:row>
    <x:row r="8" ht="48" customHeight="1">
      <x:c r="A8" s="72" t="str">
        <x:v>Centavos</x:v>
      </x:c>
      <x:c r="B8" s="72" t="str">
        <x:v>truncar em cada etapa. Padrão geral: arredondar. Cafezal: truncar para reproduzir o anexo.</x:v>
      </x:c>
      <x:c r="C8" s="72"/>
    </x:row>
    <x:row r="9" ht="48" customHeight="1">
      <x:c r="A9" s="72" t="str">
        <x:v>Vigência</x:v>
      </x:c>
      <x:c r="B9" s="72" t="str">
        <x:v>2026; não pressupõe que a tabela histórica seja a mais recente.</x:v>
      </x:c>
      <x:c r="C9" s="72"/>
    </x:row>
    <x:row r="10" ht="48" customHeight="1">
      <x:c r="A10" s="72" t="str">
        <x:v>Regra da defasagem</x:v>
      </x:c>
      <x:c r="B10" s="72" t="str">
        <x:v>(referência / atual - 1) × 100; o destaque usa a classe inicial, conforme o exemplo.</x:v>
      </x:c>
      <x:c r="C10" s="72"/>
    </x:row>
    <x:row r="11" ht="48" customHeight="1">
      <x:c r="A11" s="72" t="str">
        <x:v>Valores atuais</x:v>
      </x:c>
      <x:c r="B11" s="72" t="str">
        <x:v>Transcritos do documento. Permanecem preservados; somente referências são calculadas.</x:v>
      </x:c>
      <x:c r="C11" s="72"/>
    </x:row>
    <x:row r="12" ht="48" customHeight="1">
      <x:c r="A12" s="72" t="str">
        <x:v>Uso da referência</x:v>
      </x:c>
      <x:c r="B12" s="72" t="str">
        <x:v>pspn: PSPN 2026</x:v>
      </x:c>
      <x:c r="C12" s="72"/>
    </x:row>
    <x:row r="13" ht="48" customHeight="1">
      <x:c r="A13" s="72" t="str">
        <x:v>Cores de alerta</x:v>
      </x:c>
      <x:c r="B13" s="72" t="str">
        <x:v>Vermelho na tabela atual: vencimento abaixo da base de referência. Diferenças da carreira: atual menos referência.</x:v>
      </x:c>
      <x:c r="C13" s="72"/>
    </x:row>
    <x:row r="14" ht="48" customHeight="1">
      <x:c r="A14" s="72" t="str">
        <x:v>Edição posterior</x:v>
      </x:c>
      <x:c r="B14" s="72" t="str">
        <x:v>Ajuste valores, modo e progressões em Parâmetros/Dados originais. Mudança de fonte, profissão, vigência ou quantidade de classes: regenere pelo sistema.</x:v>
      </x:c>
      <x:c r="C14" s="72"/>
    </x:row>
    <x:row r="15" ht="48" customHeight="1">
      <x:c r="A15" s="72" t="str">
        <x:v>Observação ao gerar</x:v>
      </x:c>
      <x:c r="B15" s="72" t="str">
        <x:v>O truncamento foi aplicado em cada etapa para reproduzir o anexo municipal; confirme essa regra com o responsável antes de emitir parecer.</x:v>
      </x:c>
      <x:c r="C15" s="72"/>
    </x:row>
    <x:row r="16" ht="48" customHeight="1">
      <x:c r="A16" s="72" t="str">
        <x:v>Observação ao gerar</x:v>
      </x:c>
      <x:c r="B16" s="72" t="str">
        <x:v>A carga horária não está declarada no anexo analisado; a jornada informada deve ser confirmada na lei completa.</x:v>
      </x:c>
      <x:c r="C16" s="72"/>
    </x:row>
    <x:row r="17" ht="48" customHeight="1">
      <x:c r="A17" s="72" t="str">
        <x:v>Observação ao gerar</x:v>
      </x:c>
      <x:c r="B17" s="72" t="str">
        <x:v>A referência aplica as regras de carreira informadas; divergências numéricas não constituem parecer jurídico.</x:v>
      </x:c>
      <x:c r="C17" s="72"/>
    </x:row>
  </x:sheetData>
  <x:mergeCells>
    <x:mergeCell ref="A1:C1"/>
  </x:mergeCells>
  <x:pageMargins left="0.7" right="0.7" top="0.75" bottom="0.75" header="0.3" footer="0.3"/>
</x:worksheet>
</file>