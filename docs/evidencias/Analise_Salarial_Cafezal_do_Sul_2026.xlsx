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salarial" sheetId="1" state="visible" r:id="rId1"/>
    <sheet xmlns:r="http://schemas.openxmlformats.org/officeDocument/2006/relationships" name="Parâmetros" sheetId="2" state="visible" r:id="rId2"/>
    <sheet xmlns:r="http://schemas.openxmlformats.org/officeDocument/2006/relationships" name="Tabela atual" sheetId="3" state="visible" r:id="rId3"/>
    <sheet xmlns:r="http://schemas.openxmlformats.org/officeDocument/2006/relationships" name="Tabela referência" sheetId="4" state="visible" r:id="rId4"/>
    <sheet xmlns:r="http://schemas.openxmlformats.org/officeDocument/2006/relationships" name="Diferenças" sheetId="5" state="visible" r:id="rId5"/>
    <sheet xmlns:r="http://schemas.openxmlformats.org/officeDocument/2006/relationships" name="Avisos" sheetId="6" state="visible" r:id="rId6"/>
  </sheets>
  <definedNames>
    <definedName name="_xlnm.Print_Area" localSheetId="0">'Resumo salarial'!$A$1:$M$18</definedName>
    <definedName name="_xlnm.Print_Area" localSheetId="1">'Parâmetros'!$A$1:$H$14</definedName>
    <definedName name="_xlnm._FilterDatabase" localSheetId="2" hidden="1">'Tabela atual'!$A$3:$O$6</definedName>
    <definedName name="_xlnm.Print_Area" localSheetId="2">'Tabela atual'!$A$1:$O$6</definedName>
    <definedName name="_xlnm._FilterDatabase" localSheetId="3" hidden="1">'Tabela referência'!$A$3:$O$6</definedName>
    <definedName name="_xlnm.Print_Area" localSheetId="3">'Tabela referência'!$A$1:$O$6</definedName>
    <definedName name="_xlnm._FilterDatabase" localSheetId="4" hidden="1">'Diferenças'!$A$3:$O$6</definedName>
    <definedName name="_xlnm.Print_Area" localSheetId="4">'Diferenças'!$A$1:$O$6</definedName>
    <definedName name="_xlnm.Print_Area" localSheetId="5">'Avisos'!$A$1:$A$4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&quot;R$&quot; #,##0.000"/>
  </numFmts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b val="1"/>
      <color rgb="0017322C"/>
    </font>
  </fonts>
  <fills count="7">
    <fill>
      <patternFill/>
    </fill>
    <fill>
      <patternFill patternType="gray125"/>
    </fill>
    <fill>
      <patternFill patternType="solid">
        <fgColor rgb="0010102E"/>
      </patternFill>
    </fill>
    <fill>
      <patternFill patternType="solid">
        <fgColor rgb="002F4A1D"/>
      </patternFill>
    </fill>
    <fill>
      <patternFill patternType="solid">
        <fgColor rgb="00DCE9BD"/>
      </patternFill>
    </fill>
    <fill>
      <patternFill patternType="solid">
        <fgColor rgb="00403250"/>
      </patternFill>
    </fill>
    <fill>
      <patternFill patternType="solid">
        <fgColor rgb="00D8CBE5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164" fontId="0" fillId="0" borderId="0" pivotButton="0" quotePrefix="0" xfId="0"/>
    <xf numFmtId="10" fontId="0" fillId="0" borderId="0" pivotButton="0" quotePrefix="0" xfId="0"/>
    <xf numFmtId="0" fontId="0" fillId="0" borderId="0" applyAlignment="1" pivotButton="0" quotePrefix="0" xfId="0">
      <alignment horizontal="center"/>
    </xf>
    <xf numFmtId="165" fontId="0" fillId="0" borderId="0" pivotButton="0" quotePrefix="0" xfId="0"/>
    <xf numFmtId="0" fontId="1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164" fontId="0" fillId="4" borderId="0" pivotButton="0" quotePrefix="0" xfId="0"/>
    <xf numFmtId="0" fontId="1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 vertical="center" wrapText="1"/>
    </xf>
    <xf numFmtId="164" fontId="0" fillId="6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Classe inicial por nível</a:t>
            </a:r>
          </a:p>
        </rich>
      </tx>
    </title>
    <plotArea>
      <barChart>
        <barDir val="col"/>
        <grouping val="clustered"/>
        <ser>
          <idx val="0"/>
          <order val="0"/>
          <tx>
            <v>Atual</v>
          </tx>
          <spPr>
            <a:ln xmlns:a="http://schemas.openxmlformats.org/drawingml/2006/main">
              <a:prstDash val="solid"/>
            </a:ln>
          </spPr>
          <cat>
            <numRef>
              <f>'Resumo salarial'!$A$16:$A$18</f>
            </numRef>
          </cat>
          <val>
            <numRef>
              <f>'Resumo salarial'!$B$16:$B$18</f>
            </numRef>
          </val>
        </ser>
        <ser>
          <idx val="1"/>
          <order val="1"/>
          <tx>
            <v>Referência</v>
          </tx>
          <spPr>
            <a:ln xmlns:a="http://schemas.openxmlformats.org/drawingml/2006/main">
              <a:prstDash val="solid"/>
            </a:ln>
          </spPr>
          <cat>
            <numRef>
              <f>'Resumo salarial'!$A$16:$A$18</f>
            </numRef>
          </cat>
          <val>
            <numRef>
              <f>'Resumo salarial'!$C$16:$C$18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em 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Projeto Jornada</author>
  </authors>
  <commentList>
    <comment ref="B4" authorId="0" shapeId="0">
      <text>
        <t>Fonte legal informada: https://www.planalto.gov.br/ccivil_03/_ato2023-2026/2026/lei/l15437.htm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4" customWidth="1" min="3" max="3"/>
  </cols>
  <sheetData>
    <row r="1" ht="27" customHeight="1">
      <c r="A1" s="1" t="inlineStr">
        <is>
          <t>ANÁLISE SALARIAL DO MAGISTÉRIO MUNICIPAL</t>
        </is>
      </c>
    </row>
    <row r="3">
      <c r="A3" s="2" t="inlineStr">
        <is>
          <t>Indicador</t>
        </is>
      </c>
      <c r="B3" s="2" t="inlineStr">
        <is>
          <t>Resultado</t>
        </is>
      </c>
      <c r="C3" s="2" t="inlineStr">
        <is>
          <t>Unidade / interpretação</t>
        </is>
      </c>
    </row>
    <row r="4">
      <c r="A4" s="3" t="inlineStr">
        <is>
          <t>Município</t>
        </is>
      </c>
      <c r="B4" s="4" t="inlineStr">
        <is>
          <t>Cafezal do Sul</t>
        </is>
      </c>
      <c r="C4" s="4" t="inlineStr">
        <is>
          <t>PR</t>
        </is>
      </c>
    </row>
    <row r="5">
      <c r="A5" s="3" t="inlineStr">
        <is>
          <t>Lei municipal</t>
        </is>
      </c>
      <c r="B5" s="4" t="inlineStr">
        <is>
          <t>Anexo A da LC 064/2026</t>
        </is>
      </c>
      <c r="C5" s="4" t="inlineStr">
        <is>
          <t>ANEXO A - LC 064.2026 MAGIST.doc</t>
        </is>
      </c>
    </row>
    <row r="6">
      <c r="A6" s="3" t="inlineStr">
        <is>
          <t>PSPN 40 horas</t>
        </is>
      </c>
      <c r="B6" s="5">
        <f>'Parâmetros'!B4</f>
        <v/>
      </c>
      <c r="C6" s="4" t="inlineStr">
        <is>
          <t>Fonte informada nos parâmetros</t>
        </is>
      </c>
    </row>
    <row r="7">
      <c r="A7" s="3" t="inlineStr">
        <is>
          <t>Jornada semanal</t>
        </is>
      </c>
      <c r="B7" s="4">
        <f>'Parâmetros'!B5</f>
        <v/>
      </c>
      <c r="C7" s="4" t="inlineStr">
        <is>
          <t>horas</t>
        </is>
      </c>
    </row>
    <row r="8">
      <c r="A8" s="3" t="inlineStr">
        <is>
          <t>Vencimento inicial atual</t>
        </is>
      </c>
      <c r="B8" s="5">
        <f>'Tabela atual'!D4</f>
        <v/>
      </c>
      <c r="C8" s="4" t="inlineStr">
        <is>
          <t>Classe 1 do nível base</t>
        </is>
      </c>
    </row>
    <row r="9">
      <c r="A9" s="3" t="inlineStr">
        <is>
          <t>Vencimento inicial de referência</t>
        </is>
      </c>
      <c r="B9" s="5">
        <f>'Tabela referência'!D4</f>
        <v/>
      </c>
      <c r="C9" s="4" t="inlineStr">
        <is>
          <t>PSPN proporcional</t>
        </is>
      </c>
    </row>
    <row r="10">
      <c r="A10" s="3" t="inlineStr">
        <is>
          <t>Diferença inicial</t>
        </is>
      </c>
      <c r="B10" s="5">
        <f>B8-B9</f>
        <v/>
      </c>
      <c r="C10" s="4" t="inlineStr">
        <is>
          <t>Atual menos referência</t>
        </is>
      </c>
    </row>
    <row r="11">
      <c r="A11" s="3" t="inlineStr">
        <is>
          <t>Defasagem inicial</t>
        </is>
      </c>
      <c r="B11" s="6">
        <f>IF(B8=0,"",B9/B8-1)</f>
        <v/>
      </c>
      <c r="C11" s="4" t="inlineStr">
        <is>
          <t>Referência / atual - 1</t>
        </is>
      </c>
    </row>
    <row r="12">
      <c r="A12" s="3" t="inlineStr">
        <is>
          <t>Células abaixo da referência</t>
        </is>
      </c>
      <c r="B12" s="4">
        <f>COUNTIF('Diferenças'!D4:O6,"&lt;0")</f>
        <v/>
      </c>
      <c r="C12" s="4" t="inlineStr">
        <is>
          <t>de 36 células</t>
        </is>
      </c>
    </row>
    <row r="13">
      <c r="A13" s="3" t="inlineStr">
        <is>
          <t>Modo de centavos</t>
        </is>
      </c>
      <c r="B13" s="4">
        <f>'Parâmetros'!B6</f>
        <v/>
      </c>
      <c r="C13" s="4" t="inlineStr">
        <is>
          <t>Aplicado em cada etapa</t>
        </is>
      </c>
    </row>
    <row r="15">
      <c r="A15" s="2" t="inlineStr">
        <is>
          <t>Nível</t>
        </is>
      </c>
      <c r="B15" s="2" t="inlineStr">
        <is>
          <t>Atual - classe 1</t>
        </is>
      </c>
      <c r="C15" s="2" t="inlineStr">
        <is>
          <t>Referência - classe 1</t>
        </is>
      </c>
    </row>
    <row r="16">
      <c r="A16" t="inlineStr">
        <is>
          <t>A</t>
        </is>
      </c>
      <c r="B16" s="7">
        <f>'Tabela atual'!D4</f>
        <v/>
      </c>
      <c r="C16" s="7">
        <f>'Tabela referência'!D4</f>
        <v/>
      </c>
    </row>
    <row r="17">
      <c r="A17" t="inlineStr">
        <is>
          <t>B</t>
        </is>
      </c>
      <c r="B17" s="7">
        <f>'Tabela atual'!D5</f>
        <v/>
      </c>
      <c r="C17" s="7">
        <f>'Tabela referência'!D5</f>
        <v/>
      </c>
    </row>
    <row r="18">
      <c r="A18" t="inlineStr">
        <is>
          <t>C</t>
        </is>
      </c>
      <c r="B18" s="7">
        <f>'Tabela atual'!D6</f>
        <v/>
      </c>
      <c r="C18" s="7">
        <f>'Tabela referência'!D6</f>
        <v/>
      </c>
    </row>
  </sheetData>
  <mergeCells count="1">
    <mergeCell ref="A1:E1"/>
  </mergeCells>
  <pageMargins left="0.25" right="0.25" top="0.35" bottom="0.35" header="0.5" footer="0.5"/>
  <pageSetup orientation="landscape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20" customWidth="1" min="4" max="4"/>
    <col width="20" customWidth="1" min="5" max="5"/>
    <col width="24" customWidth="1" min="6" max="6"/>
    <col width="18" customWidth="1" min="7" max="7"/>
    <col width="20" customWidth="1" min="8" max="8"/>
  </cols>
  <sheetData>
    <row r="1" ht="27" customHeight="1">
      <c r="A1" s="1" t="inlineStr">
        <is>
          <t>PARÂMETROS, FONTES E REGRAS</t>
        </is>
      </c>
    </row>
    <row r="3">
      <c r="A3" s="2" t="inlineStr">
        <is>
          <t>Parâmetro</t>
        </is>
      </c>
      <c r="B3" s="2" t="inlineStr">
        <is>
          <t>Valor</t>
        </is>
      </c>
      <c r="C3" s="2" t="inlineStr">
        <is>
          <t>Unidade</t>
        </is>
      </c>
      <c r="D3" s="2" t="inlineStr">
        <is>
          <t>Fonte / observação</t>
        </is>
      </c>
      <c r="F3" s="2" t="inlineStr">
        <is>
          <t>Transição horizontal</t>
        </is>
      </c>
      <c r="G3" s="2" t="inlineStr">
        <is>
          <t>Percentual</t>
        </is>
      </c>
      <c r="H3" s="2" t="inlineStr">
        <is>
          <t>Origem</t>
        </is>
      </c>
    </row>
    <row r="4">
      <c r="A4" t="inlineStr">
        <is>
          <t>PSPN nacional</t>
        </is>
      </c>
      <c r="B4" s="7" t="n">
        <v>5130.63</v>
      </c>
      <c r="C4" t="inlineStr">
        <is>
          <t>R$ / 40h</t>
        </is>
      </c>
      <c r="D4" t="inlineStr">
        <is>
          <t>Lei Federal nº 15.437/2026</t>
        </is>
      </c>
      <c r="F4" t="inlineStr">
        <is>
          <t>Classe 1 → 2</t>
        </is>
      </c>
      <c r="G4" s="8" t="n">
        <v>0.02</v>
      </c>
      <c r="H4" s="9" t="inlineStr">
        <is>
          <t>declarada</t>
        </is>
      </c>
    </row>
    <row r="5">
      <c r="A5" t="inlineStr">
        <is>
          <t>Jornada municipal</t>
        </is>
      </c>
      <c r="B5" t="n">
        <v>20</v>
      </c>
      <c r="C5" t="inlineStr">
        <is>
          <t>horas</t>
        </is>
      </c>
      <c r="D5" t="inlineStr">
        <is>
          <t>Confirmar na lei completa</t>
        </is>
      </c>
      <c r="F5" t="inlineStr">
        <is>
          <t>Classe 2 → 3</t>
        </is>
      </c>
      <c r="G5" s="8" t="n">
        <v>0.02</v>
      </c>
      <c r="H5" s="9" t="inlineStr">
        <is>
          <t>declarada</t>
        </is>
      </c>
    </row>
    <row r="6">
      <c r="A6" t="inlineStr">
        <is>
          <t>Modo de centavos</t>
        </is>
      </c>
      <c r="B6" t="inlineStr">
        <is>
          <t>truncar</t>
        </is>
      </c>
      <c r="C6" t="inlineStr">
        <is>
          <t>regra</t>
        </is>
      </c>
      <c r="D6" t="inlineStr">
        <is>
          <t>Truncar ou arredondar em cada etapa</t>
        </is>
      </c>
      <c r="F6" t="inlineStr">
        <is>
          <t>Classe 3 → 4</t>
        </is>
      </c>
      <c r="G6" s="8" t="n">
        <v>0.02</v>
      </c>
      <c r="H6" s="9" t="inlineStr">
        <is>
          <t>declarada</t>
        </is>
      </c>
    </row>
    <row r="7">
      <c r="A7" t="inlineStr">
        <is>
          <t>Progressão entre classes</t>
        </is>
      </c>
      <c r="B7" s="8" t="n">
        <v>0.02</v>
      </c>
      <c r="C7" t="inlineStr">
        <is>
          <t>por transição</t>
        </is>
      </c>
      <c r="D7" t="inlineStr">
        <is>
          <t>Anexo A da LC 064/2026</t>
        </is>
      </c>
      <c r="F7" t="inlineStr">
        <is>
          <t>Classe 4 → 5</t>
        </is>
      </c>
      <c r="G7" s="8" t="n">
        <v>0.02</v>
      </c>
      <c r="H7" s="9" t="inlineStr">
        <is>
          <t>declarada</t>
        </is>
      </c>
    </row>
    <row r="8">
      <c r="A8" t="inlineStr">
        <is>
          <t>Piso proporcional exato</t>
        </is>
      </c>
      <c r="B8" s="10">
        <f>B4*B5/40</f>
        <v/>
      </c>
      <c r="C8" t="inlineStr">
        <is>
          <t>R$</t>
        </is>
      </c>
      <c r="D8" t="inlineStr">
        <is>
          <t>Antes do tratamento de centavos</t>
        </is>
      </c>
      <c r="F8" t="inlineStr">
        <is>
          <t>Classe 5 → 6</t>
        </is>
      </c>
      <c r="G8" s="8" t="n">
        <v>0.02</v>
      </c>
      <c r="H8" s="9" t="inlineStr">
        <is>
          <t>declarada</t>
        </is>
      </c>
    </row>
    <row r="9">
      <c r="F9" t="inlineStr">
        <is>
          <t>Classe 6 → 7</t>
        </is>
      </c>
      <c r="G9" s="8" t="n">
        <v>0.02</v>
      </c>
      <c r="H9" s="9" t="inlineStr">
        <is>
          <t>declarada</t>
        </is>
      </c>
    </row>
    <row r="10">
      <c r="A10" s="2" t="inlineStr">
        <is>
          <t>Código</t>
        </is>
      </c>
      <c r="B10" s="2" t="inlineStr">
        <is>
          <t>Descrição</t>
        </is>
      </c>
      <c r="C10" s="2" t="inlineStr">
        <is>
          <t>Tipo de regra</t>
        </is>
      </c>
      <c r="D10" s="2" t="inlineStr">
        <is>
          <t>Valor</t>
        </is>
      </c>
      <c r="E10" s="2" t="inlineStr">
        <is>
          <t>Nível de referência</t>
        </is>
      </c>
      <c r="F10" t="inlineStr">
        <is>
          <t>Classe 7 → 8</t>
        </is>
      </c>
      <c r="G10" s="8" t="n">
        <v>0.02</v>
      </c>
      <c r="H10" s="9" t="inlineStr">
        <is>
          <t>declarada</t>
        </is>
      </c>
    </row>
    <row r="11">
      <c r="A11" t="inlineStr">
        <is>
          <t>A</t>
        </is>
      </c>
      <c r="B11" t="inlineStr">
        <is>
          <t>Magistério</t>
        </is>
      </c>
      <c r="C11" t="inlineStr">
        <is>
          <t>base</t>
        </is>
      </c>
      <c r="F11" t="inlineStr">
        <is>
          <t>Classe 8 → 9</t>
        </is>
      </c>
      <c r="G11" s="8" t="n">
        <v>0.02</v>
      </c>
      <c r="H11" s="9" t="inlineStr">
        <is>
          <t>declarada</t>
        </is>
      </c>
    </row>
    <row r="12">
      <c r="A12" t="inlineStr">
        <is>
          <t>B</t>
        </is>
      </c>
      <c r="B12" t="inlineStr">
        <is>
          <t>Licenciatura Plena</t>
        </is>
      </c>
      <c r="C12" t="inlineStr">
        <is>
          <t>percentual</t>
        </is>
      </c>
      <c r="D12" s="8" t="n">
        <v>0.12</v>
      </c>
      <c r="E12" t="inlineStr">
        <is>
          <t>A</t>
        </is>
      </c>
      <c r="F12" t="inlineStr">
        <is>
          <t>Classe 9 → 10</t>
        </is>
      </c>
      <c r="G12" s="8" t="n">
        <v>0.02</v>
      </c>
      <c r="H12" s="9" t="inlineStr">
        <is>
          <t>declarada</t>
        </is>
      </c>
    </row>
    <row r="13">
      <c r="A13" t="inlineStr">
        <is>
          <t>C</t>
        </is>
      </c>
      <c r="B13" t="inlineStr">
        <is>
          <t>Especialização</t>
        </is>
      </c>
      <c r="C13" t="inlineStr">
        <is>
          <t>percentual</t>
        </is>
      </c>
      <c r="D13" s="8" t="n">
        <v>0.27</v>
      </c>
      <c r="E13" t="inlineStr">
        <is>
          <t>A</t>
        </is>
      </c>
      <c r="F13" t="inlineStr">
        <is>
          <t>Classe 10 → 11</t>
        </is>
      </c>
      <c r="G13" s="8" t="n">
        <v>0.02</v>
      </c>
      <c r="H13" s="9" t="inlineStr">
        <is>
          <t>declarada</t>
        </is>
      </c>
    </row>
    <row r="14">
      <c r="F14" t="inlineStr">
        <is>
          <t>Classe 11 → 12</t>
        </is>
      </c>
      <c r="G14" s="8" t="n">
        <v>0.02</v>
      </c>
      <c r="H14" s="9" t="inlineStr">
        <is>
          <t>declarada</t>
        </is>
      </c>
    </row>
  </sheetData>
  <mergeCells count="1">
    <mergeCell ref="A1:H1"/>
  </mergeCells>
  <pageMargins left="0.25" right="0.25" top="0.35" bottom="0.35" header="0.5" footer="0.5"/>
  <pageSetup orientation="landscape" paperSize="9" fitToHeight="1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7" customHeight="1">
      <c r="A1" s="11" t="inlineStr">
        <is>
          <t>TABELA DE VENCIMENTOS ATUAL</t>
        </is>
      </c>
    </row>
    <row r="3">
      <c r="A3" s="12" t="inlineStr">
        <is>
          <t>Código</t>
        </is>
      </c>
      <c r="B3" s="12" t="inlineStr">
        <is>
          <t>Nível</t>
        </is>
      </c>
      <c r="C3" s="12" t="inlineStr">
        <is>
          <t>Regra vertical</t>
        </is>
      </c>
      <c r="D3" s="12" t="inlineStr">
        <is>
          <t>Classe 1</t>
        </is>
      </c>
      <c r="E3" s="12" t="inlineStr">
        <is>
          <t>Classe 2</t>
        </is>
      </c>
      <c r="F3" s="12" t="inlineStr">
        <is>
          <t>Classe 3</t>
        </is>
      </c>
      <c r="G3" s="12" t="inlineStr">
        <is>
          <t>Classe 4</t>
        </is>
      </c>
      <c r="H3" s="12" t="inlineStr">
        <is>
          <t>Classe 5</t>
        </is>
      </c>
      <c r="I3" s="12" t="inlineStr">
        <is>
          <t>Classe 6</t>
        </is>
      </c>
      <c r="J3" s="12" t="inlineStr">
        <is>
          <t>Classe 7</t>
        </is>
      </c>
      <c r="K3" s="12" t="inlineStr">
        <is>
          <t>Classe 8</t>
        </is>
      </c>
      <c r="L3" s="12" t="inlineStr">
        <is>
          <t>Classe 9</t>
        </is>
      </c>
      <c r="M3" s="12" t="inlineStr">
        <is>
          <t>Classe 10</t>
        </is>
      </c>
      <c r="N3" s="12" t="inlineStr">
        <is>
          <t>Classe 11</t>
        </is>
      </c>
      <c r="O3" s="12" t="inlineStr">
        <is>
          <t>Classe 12</t>
        </is>
      </c>
    </row>
    <row r="4">
      <c r="A4" t="inlineStr">
        <is>
          <t>A</t>
        </is>
      </c>
      <c r="B4" t="inlineStr">
        <is>
          <t>Magistério</t>
        </is>
      </c>
      <c r="C4" t="inlineStr">
        <is>
          <t>Base da carreira</t>
        </is>
      </c>
      <c r="D4" s="13" t="n">
        <v>2565.31</v>
      </c>
      <c r="E4" s="13" t="n">
        <v>2616.61</v>
      </c>
      <c r="F4" s="13" t="n">
        <v>2668.94</v>
      </c>
      <c r="G4" s="13" t="n">
        <v>2722.31</v>
      </c>
      <c r="H4" s="13" t="n">
        <v>2776.75</v>
      </c>
      <c r="I4" s="13" t="n">
        <v>2832.28</v>
      </c>
      <c r="J4" s="13" t="n">
        <v>2888.92</v>
      </c>
      <c r="K4" s="13" t="n">
        <v>2946.69</v>
      </c>
      <c r="L4" s="13" t="n">
        <v>3005.62</v>
      </c>
      <c r="M4" s="13" t="n">
        <v>3065.73</v>
      </c>
      <c r="N4" s="13" t="n">
        <v>3127.04</v>
      </c>
      <c r="O4" s="13" t="n">
        <v>3189.58</v>
      </c>
    </row>
    <row r="5">
      <c r="A5" t="inlineStr">
        <is>
          <t>B</t>
        </is>
      </c>
      <c r="B5" t="inlineStr">
        <is>
          <t>Licenciatura Plena</t>
        </is>
      </c>
      <c r="C5" t="inlineStr">
        <is>
          <t>+ 12% sobre A</t>
        </is>
      </c>
      <c r="D5" s="13" t="n">
        <v>2873.14</v>
      </c>
      <c r="E5" s="13" t="n">
        <v>2930.6</v>
      </c>
      <c r="F5" s="13" t="n">
        <v>2989.21</v>
      </c>
      <c r="G5" s="13" t="n">
        <v>3048.99</v>
      </c>
      <c r="H5" s="13" t="n">
        <v>3109.96</v>
      </c>
      <c r="I5" s="13" t="n">
        <v>3172.15</v>
      </c>
      <c r="J5" s="13" t="n">
        <v>3235.59</v>
      </c>
      <c r="K5" s="13" t="n">
        <v>3300.3</v>
      </c>
      <c r="L5" s="13" t="n">
        <v>3366.3</v>
      </c>
      <c r="M5" s="13" t="n">
        <v>3433.62</v>
      </c>
      <c r="N5" s="13" t="n">
        <v>3502.29</v>
      </c>
      <c r="O5" s="13" t="n">
        <v>3572.33</v>
      </c>
    </row>
    <row r="6">
      <c r="A6" t="inlineStr">
        <is>
          <t>C</t>
        </is>
      </c>
      <c r="B6" t="inlineStr">
        <is>
          <t>Especialização</t>
        </is>
      </c>
      <c r="C6" t="inlineStr">
        <is>
          <t>+ 27% sobre A</t>
        </is>
      </c>
      <c r="D6" s="13" t="n">
        <v>3257.94</v>
      </c>
      <c r="E6" s="13" t="n">
        <v>3323.09</v>
      </c>
      <c r="F6" s="13" t="n">
        <v>3389.55</v>
      </c>
      <c r="G6" s="13" t="n">
        <v>3457.34</v>
      </c>
      <c r="H6" s="13" t="n">
        <v>3526.48</v>
      </c>
      <c r="I6" s="13" t="n">
        <v>3597</v>
      </c>
      <c r="J6" s="13" t="n">
        <v>3668.94</v>
      </c>
      <c r="K6" s="13" t="n">
        <v>3742.31</v>
      </c>
      <c r="L6" s="13" t="n">
        <v>3817.15</v>
      </c>
      <c r="M6" s="13" t="n">
        <v>3893.49</v>
      </c>
      <c r="N6" s="13" t="n">
        <v>3971.35</v>
      </c>
      <c r="O6" s="13" t="n">
        <v>4050.77</v>
      </c>
    </row>
  </sheetData>
  <autoFilter ref="A3:O6"/>
  <mergeCells count="1">
    <mergeCell ref="A1:O1"/>
  </mergeCells>
  <pageMargins left="0.25" right="0.25" top="0.35" bottom="0.35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7" customHeight="1">
      <c r="A1" s="14" t="inlineStr">
        <is>
          <t>TABELA DE REFERÊNCIA CALCULADA A PARTIR DO PSPN</t>
        </is>
      </c>
    </row>
    <row r="3">
      <c r="A3" s="15" t="inlineStr">
        <is>
          <t>Código</t>
        </is>
      </c>
      <c r="B3" s="15" t="inlineStr">
        <is>
          <t>Nível</t>
        </is>
      </c>
      <c r="C3" s="15" t="inlineStr">
        <is>
          <t>Regra vertical</t>
        </is>
      </c>
      <c r="D3" s="15" t="inlineStr">
        <is>
          <t>Classe 1</t>
        </is>
      </c>
      <c r="E3" s="15" t="inlineStr">
        <is>
          <t>Classe 2</t>
        </is>
      </c>
      <c r="F3" s="15" t="inlineStr">
        <is>
          <t>Classe 3</t>
        </is>
      </c>
      <c r="G3" s="15" t="inlineStr">
        <is>
          <t>Classe 4</t>
        </is>
      </c>
      <c r="H3" s="15" t="inlineStr">
        <is>
          <t>Classe 5</t>
        </is>
      </c>
      <c r="I3" s="15" t="inlineStr">
        <is>
          <t>Classe 6</t>
        </is>
      </c>
      <c r="J3" s="15" t="inlineStr">
        <is>
          <t>Classe 7</t>
        </is>
      </c>
      <c r="K3" s="15" t="inlineStr">
        <is>
          <t>Classe 8</t>
        </is>
      </c>
      <c r="L3" s="15" t="inlineStr">
        <is>
          <t>Classe 9</t>
        </is>
      </c>
      <c r="M3" s="15" t="inlineStr">
        <is>
          <t>Classe 10</t>
        </is>
      </c>
      <c r="N3" s="15" t="inlineStr">
        <is>
          <t>Classe 11</t>
        </is>
      </c>
      <c r="O3" s="15" t="inlineStr">
        <is>
          <t>Classe 12</t>
        </is>
      </c>
    </row>
    <row r="4">
      <c r="A4" t="inlineStr">
        <is>
          <t>A</t>
        </is>
      </c>
      <c r="B4" t="inlineStr">
        <is>
          <t>Magistério</t>
        </is>
      </c>
      <c r="C4" t="inlineStr">
        <is>
          <t>Base da carreira</t>
        </is>
      </c>
      <c r="D4" s="16">
        <f>IF('Parâmetros'!$B$6="truncar",ROUNDDOWN('Parâmetros'!$B$4*'Parâmetros'!$B$5/40,2),ROUND('Parâmetros'!$B$4*'Parâmetros'!$B$5/40,2))</f>
        <v/>
      </c>
      <c r="E4" s="16">
        <f>IF('Parâmetros'!$B$6="truncar",ROUNDDOWN(D4*(1+'Parâmetros'!$G$4),2),ROUND(D4*(1+'Parâmetros'!$G$4),2))</f>
        <v/>
      </c>
      <c r="F4" s="16">
        <f>IF('Parâmetros'!$B$6="truncar",ROUNDDOWN(E4*(1+'Parâmetros'!$G$5),2),ROUND(E4*(1+'Parâmetros'!$G$5),2))</f>
        <v/>
      </c>
      <c r="G4" s="16">
        <f>IF('Parâmetros'!$B$6="truncar",ROUNDDOWN(F4*(1+'Parâmetros'!$G$6),2),ROUND(F4*(1+'Parâmetros'!$G$6),2))</f>
        <v/>
      </c>
      <c r="H4" s="16">
        <f>IF('Parâmetros'!$B$6="truncar",ROUNDDOWN(G4*(1+'Parâmetros'!$G$7),2),ROUND(G4*(1+'Parâmetros'!$G$7),2))</f>
        <v/>
      </c>
      <c r="I4" s="16">
        <f>IF('Parâmetros'!$B$6="truncar",ROUNDDOWN(H4*(1+'Parâmetros'!$G$8),2),ROUND(H4*(1+'Parâmetros'!$G$8),2))</f>
        <v/>
      </c>
      <c r="J4" s="16">
        <f>IF('Parâmetros'!$B$6="truncar",ROUNDDOWN(I4*(1+'Parâmetros'!$G$9),2),ROUND(I4*(1+'Parâmetros'!$G$9),2))</f>
        <v/>
      </c>
      <c r="K4" s="16">
        <f>IF('Parâmetros'!$B$6="truncar",ROUNDDOWN(J4*(1+'Parâmetros'!$G$10),2),ROUND(J4*(1+'Parâmetros'!$G$10),2))</f>
        <v/>
      </c>
      <c r="L4" s="16">
        <f>IF('Parâmetros'!$B$6="truncar",ROUNDDOWN(K4*(1+'Parâmetros'!$G$11),2),ROUND(K4*(1+'Parâmetros'!$G$11),2))</f>
        <v/>
      </c>
      <c r="M4" s="16">
        <f>IF('Parâmetros'!$B$6="truncar",ROUNDDOWN(L4*(1+'Parâmetros'!$G$12),2),ROUND(L4*(1+'Parâmetros'!$G$12),2))</f>
        <v/>
      </c>
      <c r="N4" s="16">
        <f>IF('Parâmetros'!$B$6="truncar",ROUNDDOWN(M4*(1+'Parâmetros'!$G$13),2),ROUND(M4*(1+'Parâmetros'!$G$13),2))</f>
        <v/>
      </c>
      <c r="O4" s="16">
        <f>IF('Parâmetros'!$B$6="truncar",ROUNDDOWN(N4*(1+'Parâmetros'!$G$14),2),ROUND(N4*(1+'Parâmetros'!$G$14),2))</f>
        <v/>
      </c>
    </row>
    <row r="5">
      <c r="A5" t="inlineStr">
        <is>
          <t>B</t>
        </is>
      </c>
      <c r="B5" t="inlineStr">
        <is>
          <t>Licenciatura Plena</t>
        </is>
      </c>
      <c r="C5" t="inlineStr">
        <is>
          <t>+ 12% sobre A</t>
        </is>
      </c>
      <c r="D5" s="16">
        <f>IF('Parâmetros'!$B$6="truncar",ROUNDDOWN(D4*(1+'Parâmetros'!$D$12),2),ROUND(D4*(1+'Parâmetros'!$D$12),2))</f>
        <v/>
      </c>
      <c r="E5" s="16">
        <f>IF('Parâmetros'!$B$6="truncar",ROUNDDOWN(D5*(1+'Parâmetros'!$G$4),2),ROUND(D5*(1+'Parâmetros'!$G$4),2))</f>
        <v/>
      </c>
      <c r="F5" s="16">
        <f>IF('Parâmetros'!$B$6="truncar",ROUNDDOWN(E5*(1+'Parâmetros'!$G$5),2),ROUND(E5*(1+'Parâmetros'!$G$5),2))</f>
        <v/>
      </c>
      <c r="G5" s="16">
        <f>IF('Parâmetros'!$B$6="truncar",ROUNDDOWN(F5*(1+'Parâmetros'!$G$6),2),ROUND(F5*(1+'Parâmetros'!$G$6),2))</f>
        <v/>
      </c>
      <c r="H5" s="16">
        <f>IF('Parâmetros'!$B$6="truncar",ROUNDDOWN(G5*(1+'Parâmetros'!$G$7),2),ROUND(G5*(1+'Parâmetros'!$G$7),2))</f>
        <v/>
      </c>
      <c r="I5" s="16">
        <f>IF('Parâmetros'!$B$6="truncar",ROUNDDOWN(H5*(1+'Parâmetros'!$G$8),2),ROUND(H5*(1+'Parâmetros'!$G$8),2))</f>
        <v/>
      </c>
      <c r="J5" s="16">
        <f>IF('Parâmetros'!$B$6="truncar",ROUNDDOWN(I5*(1+'Parâmetros'!$G$9),2),ROUND(I5*(1+'Parâmetros'!$G$9),2))</f>
        <v/>
      </c>
      <c r="K5" s="16">
        <f>IF('Parâmetros'!$B$6="truncar",ROUNDDOWN(J5*(1+'Parâmetros'!$G$10),2),ROUND(J5*(1+'Parâmetros'!$G$10),2))</f>
        <v/>
      </c>
      <c r="L5" s="16">
        <f>IF('Parâmetros'!$B$6="truncar",ROUNDDOWN(K5*(1+'Parâmetros'!$G$11),2),ROUND(K5*(1+'Parâmetros'!$G$11),2))</f>
        <v/>
      </c>
      <c r="M5" s="16">
        <f>IF('Parâmetros'!$B$6="truncar",ROUNDDOWN(L5*(1+'Parâmetros'!$G$12),2),ROUND(L5*(1+'Parâmetros'!$G$12),2))</f>
        <v/>
      </c>
      <c r="N5" s="16">
        <f>IF('Parâmetros'!$B$6="truncar",ROUNDDOWN(M5*(1+'Parâmetros'!$G$13),2),ROUND(M5*(1+'Parâmetros'!$G$13),2))</f>
        <v/>
      </c>
      <c r="O5" s="16">
        <f>IF('Parâmetros'!$B$6="truncar",ROUNDDOWN(N5*(1+'Parâmetros'!$G$14),2),ROUND(N5*(1+'Parâmetros'!$G$14),2))</f>
        <v/>
      </c>
    </row>
    <row r="6">
      <c r="A6" t="inlineStr">
        <is>
          <t>C</t>
        </is>
      </c>
      <c r="B6" t="inlineStr">
        <is>
          <t>Especialização</t>
        </is>
      </c>
      <c r="C6" t="inlineStr">
        <is>
          <t>+ 27% sobre A</t>
        </is>
      </c>
      <c r="D6" s="16">
        <f>IF('Parâmetros'!$B$6="truncar",ROUNDDOWN(D4*(1+'Parâmetros'!$D$13),2),ROUND(D4*(1+'Parâmetros'!$D$13),2))</f>
        <v/>
      </c>
      <c r="E6" s="16">
        <f>IF('Parâmetros'!$B$6="truncar",ROUNDDOWN(D6*(1+'Parâmetros'!$G$4),2),ROUND(D6*(1+'Parâmetros'!$G$4),2))</f>
        <v/>
      </c>
      <c r="F6" s="16">
        <f>IF('Parâmetros'!$B$6="truncar",ROUNDDOWN(E6*(1+'Parâmetros'!$G$5),2),ROUND(E6*(1+'Parâmetros'!$G$5),2))</f>
        <v/>
      </c>
      <c r="G6" s="16">
        <f>IF('Parâmetros'!$B$6="truncar",ROUNDDOWN(F6*(1+'Parâmetros'!$G$6),2),ROUND(F6*(1+'Parâmetros'!$G$6),2))</f>
        <v/>
      </c>
      <c r="H6" s="16">
        <f>IF('Parâmetros'!$B$6="truncar",ROUNDDOWN(G6*(1+'Parâmetros'!$G$7),2),ROUND(G6*(1+'Parâmetros'!$G$7),2))</f>
        <v/>
      </c>
      <c r="I6" s="16">
        <f>IF('Parâmetros'!$B$6="truncar",ROUNDDOWN(H6*(1+'Parâmetros'!$G$8),2),ROUND(H6*(1+'Parâmetros'!$G$8),2))</f>
        <v/>
      </c>
      <c r="J6" s="16">
        <f>IF('Parâmetros'!$B$6="truncar",ROUNDDOWN(I6*(1+'Parâmetros'!$G$9),2),ROUND(I6*(1+'Parâmetros'!$G$9),2))</f>
        <v/>
      </c>
      <c r="K6" s="16">
        <f>IF('Parâmetros'!$B$6="truncar",ROUNDDOWN(J6*(1+'Parâmetros'!$G$10),2),ROUND(J6*(1+'Parâmetros'!$G$10),2))</f>
        <v/>
      </c>
      <c r="L6" s="16">
        <f>IF('Parâmetros'!$B$6="truncar",ROUNDDOWN(K6*(1+'Parâmetros'!$G$11),2),ROUND(K6*(1+'Parâmetros'!$G$11),2))</f>
        <v/>
      </c>
      <c r="M6" s="16">
        <f>IF('Parâmetros'!$B$6="truncar",ROUNDDOWN(L6*(1+'Parâmetros'!$G$12),2),ROUND(L6*(1+'Parâmetros'!$G$12),2))</f>
        <v/>
      </c>
      <c r="N6" s="16">
        <f>IF('Parâmetros'!$B$6="truncar",ROUNDDOWN(M6*(1+'Parâmetros'!$G$13),2),ROUND(M6*(1+'Parâmetros'!$G$13),2))</f>
        <v/>
      </c>
      <c r="O6" s="16">
        <f>IF('Parâmetros'!$B$6="truncar",ROUNDDOWN(N6*(1+'Parâmetros'!$G$14),2),ROUND(N6*(1+'Parâmetros'!$G$14),2))</f>
        <v/>
      </c>
    </row>
  </sheetData>
  <autoFilter ref="A3:O6"/>
  <mergeCells count="1">
    <mergeCell ref="A1:O1"/>
  </mergeCells>
  <pageMargins left="0.25" right="0.25" top="0.35" bottom="0.35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7" customHeight="1">
      <c r="A1" s="1" t="inlineStr">
        <is>
          <t>DIFERENÇA: TABELA ATUAL MENOS REFERÊNCIA</t>
        </is>
      </c>
    </row>
    <row r="3">
      <c r="A3" s="2" t="inlineStr">
        <is>
          <t>Código</t>
        </is>
      </c>
      <c r="B3" s="2" t="inlineStr">
        <is>
          <t>Nível</t>
        </is>
      </c>
      <c r="C3" s="2" t="inlineStr">
        <is>
          <t>Regra vertical</t>
        </is>
      </c>
      <c r="D3" s="2" t="inlineStr">
        <is>
          <t>Classe 1</t>
        </is>
      </c>
      <c r="E3" s="2" t="inlineStr">
        <is>
          <t>Classe 2</t>
        </is>
      </c>
      <c r="F3" s="2" t="inlineStr">
        <is>
          <t>Classe 3</t>
        </is>
      </c>
      <c r="G3" s="2" t="inlineStr">
        <is>
          <t>Classe 4</t>
        </is>
      </c>
      <c r="H3" s="2" t="inlineStr">
        <is>
          <t>Classe 5</t>
        </is>
      </c>
      <c r="I3" s="2" t="inlineStr">
        <is>
          <t>Classe 6</t>
        </is>
      </c>
      <c r="J3" s="2" t="inlineStr">
        <is>
          <t>Classe 7</t>
        </is>
      </c>
      <c r="K3" s="2" t="inlineStr">
        <is>
          <t>Classe 8</t>
        </is>
      </c>
      <c r="L3" s="2" t="inlineStr">
        <is>
          <t>Classe 9</t>
        </is>
      </c>
      <c r="M3" s="2" t="inlineStr">
        <is>
          <t>Classe 10</t>
        </is>
      </c>
      <c r="N3" s="2" t="inlineStr">
        <is>
          <t>Classe 11</t>
        </is>
      </c>
      <c r="O3" s="2" t="inlineStr">
        <is>
          <t>Classe 12</t>
        </is>
      </c>
    </row>
    <row r="4">
      <c r="A4" t="inlineStr">
        <is>
          <t>A</t>
        </is>
      </c>
      <c r="B4" t="inlineStr">
        <is>
          <t>Magistério</t>
        </is>
      </c>
      <c r="C4" t="inlineStr">
        <is>
          <t>Base da carreira</t>
        </is>
      </c>
      <c r="D4" s="7">
        <f>'Tabela atual'!D4-'Tabela referência'!D4</f>
        <v/>
      </c>
      <c r="E4" s="7">
        <f>'Tabela atual'!E4-'Tabela referência'!E4</f>
        <v/>
      </c>
      <c r="F4" s="7">
        <f>'Tabela atual'!F4-'Tabela referência'!F4</f>
        <v/>
      </c>
      <c r="G4" s="7">
        <f>'Tabela atual'!G4-'Tabela referência'!G4</f>
        <v/>
      </c>
      <c r="H4" s="7">
        <f>'Tabela atual'!H4-'Tabela referência'!H4</f>
        <v/>
      </c>
      <c r="I4" s="7">
        <f>'Tabela atual'!I4-'Tabela referência'!I4</f>
        <v/>
      </c>
      <c r="J4" s="7">
        <f>'Tabela atual'!J4-'Tabela referência'!J4</f>
        <v/>
      </c>
      <c r="K4" s="7">
        <f>'Tabela atual'!K4-'Tabela referência'!K4</f>
        <v/>
      </c>
      <c r="L4" s="7">
        <f>'Tabela atual'!L4-'Tabela referência'!L4</f>
        <v/>
      </c>
      <c r="M4" s="7">
        <f>'Tabela atual'!M4-'Tabela referência'!M4</f>
        <v/>
      </c>
      <c r="N4" s="7">
        <f>'Tabela atual'!N4-'Tabela referência'!N4</f>
        <v/>
      </c>
      <c r="O4" s="7">
        <f>'Tabela atual'!O4-'Tabela referência'!O4</f>
        <v/>
      </c>
    </row>
    <row r="5">
      <c r="A5" t="inlineStr">
        <is>
          <t>B</t>
        </is>
      </c>
      <c r="B5" t="inlineStr">
        <is>
          <t>Licenciatura Plena</t>
        </is>
      </c>
      <c r="C5" t="inlineStr">
        <is>
          <t>+ 12% sobre A</t>
        </is>
      </c>
      <c r="D5" s="7">
        <f>'Tabela atual'!D5-'Tabela referência'!D5</f>
        <v/>
      </c>
      <c r="E5" s="7">
        <f>'Tabela atual'!E5-'Tabela referência'!E5</f>
        <v/>
      </c>
      <c r="F5" s="7">
        <f>'Tabela atual'!F5-'Tabela referência'!F5</f>
        <v/>
      </c>
      <c r="G5" s="7">
        <f>'Tabela atual'!G5-'Tabela referência'!G5</f>
        <v/>
      </c>
      <c r="H5" s="7">
        <f>'Tabela atual'!H5-'Tabela referência'!H5</f>
        <v/>
      </c>
      <c r="I5" s="7">
        <f>'Tabela atual'!I5-'Tabela referência'!I5</f>
        <v/>
      </c>
      <c r="J5" s="7">
        <f>'Tabela atual'!J5-'Tabela referência'!J5</f>
        <v/>
      </c>
      <c r="K5" s="7">
        <f>'Tabela atual'!K5-'Tabela referência'!K5</f>
        <v/>
      </c>
      <c r="L5" s="7">
        <f>'Tabela atual'!L5-'Tabela referência'!L5</f>
        <v/>
      </c>
      <c r="M5" s="7">
        <f>'Tabela atual'!M5-'Tabela referência'!M5</f>
        <v/>
      </c>
      <c r="N5" s="7">
        <f>'Tabela atual'!N5-'Tabela referência'!N5</f>
        <v/>
      </c>
      <c r="O5" s="7">
        <f>'Tabela atual'!O5-'Tabela referência'!O5</f>
        <v/>
      </c>
    </row>
    <row r="6">
      <c r="A6" t="inlineStr">
        <is>
          <t>C</t>
        </is>
      </c>
      <c r="B6" t="inlineStr">
        <is>
          <t>Especialização</t>
        </is>
      </c>
      <c r="C6" t="inlineStr">
        <is>
          <t>+ 27% sobre A</t>
        </is>
      </c>
      <c r="D6" s="7">
        <f>'Tabela atual'!D6-'Tabela referência'!D6</f>
        <v/>
      </c>
      <c r="E6" s="7">
        <f>'Tabela atual'!E6-'Tabela referência'!E6</f>
        <v/>
      </c>
      <c r="F6" s="7">
        <f>'Tabela atual'!F6-'Tabela referência'!F6</f>
        <v/>
      </c>
      <c r="G6" s="7">
        <f>'Tabela atual'!G6-'Tabela referência'!G6</f>
        <v/>
      </c>
      <c r="H6" s="7">
        <f>'Tabela atual'!H6-'Tabela referência'!H6</f>
        <v/>
      </c>
      <c r="I6" s="7">
        <f>'Tabela atual'!I6-'Tabela referência'!I6</f>
        <v/>
      </c>
      <c r="J6" s="7">
        <f>'Tabela atual'!J6-'Tabela referência'!J6</f>
        <v/>
      </c>
      <c r="K6" s="7">
        <f>'Tabela atual'!K6-'Tabela referência'!K6</f>
        <v/>
      </c>
      <c r="L6" s="7">
        <f>'Tabela atual'!L6-'Tabela referência'!L6</f>
        <v/>
      </c>
      <c r="M6" s="7">
        <f>'Tabela atual'!M6-'Tabela referência'!M6</f>
        <v/>
      </c>
      <c r="N6" s="7">
        <f>'Tabela atual'!N6-'Tabela referência'!N6</f>
        <v/>
      </c>
      <c r="O6" s="7">
        <f>'Tabela atual'!O6-'Tabela referência'!O6</f>
        <v/>
      </c>
    </row>
  </sheetData>
  <autoFilter ref="A3:O6"/>
  <mergeCells count="1">
    <mergeCell ref="A1:O1"/>
  </mergeCells>
  <conditionalFormatting sqref="D4:O6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25" right="0.25" top="0.35" bottom="0.35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7" t="inlineStr">
        <is>
          <t>Aviso / premissa</t>
        </is>
      </c>
    </row>
    <row r="2" ht="32" customHeight="1">
      <c r="A2" s="18" t="inlineStr">
        <is>
          <t>O truncamento foi aplicado em cada etapa para reproduzir o anexo municipal; confirme essa regra com o responsável antes de emitir parecer.</t>
        </is>
      </c>
    </row>
    <row r="3" ht="32" customHeight="1">
      <c r="A3" s="18" t="inlineStr">
        <is>
          <t>A carga horária não está declarada no anexo analisado; a jornada informada deve ser confirmada na lei completa.</t>
        </is>
      </c>
    </row>
    <row r="4" ht="32" customHeight="1">
      <c r="A4" s="18" t="inlineStr">
        <is>
          <t>A comparação é técnica e não substitui a validação jurídica da lei municipal e do PSPN.</t>
        </is>
      </c>
    </row>
  </sheetData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2026-08-25T10:23:09Z</dcterms:created>
  <dcterms:modified xmlns:dcterms="http://purl.org/dc/terms/" xmlns:xsi="http://www.w3.org/2001/XMLSchema-instance" xsi:type="dcterms:W3CDTF">2026-08-25T10:23:09Z</dcterms:modified>
</cp:coreProperties>
</file>