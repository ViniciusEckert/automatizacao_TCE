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0dac26dae5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aração salarial" sheetId="1" r:id="R341b1e1804264f80"/>
    <x:sheet xmlns:r="http://schemas.openxmlformats.org/officeDocument/2006/relationships" name="Parâmetros" sheetId="2" r:id="R96e67a7735c44ea4"/>
    <x:sheet xmlns:r="http://schemas.openxmlformats.org/officeDocument/2006/relationships" name="Dados originais" sheetId="3" r:id="R86eea10d14154fc2"/>
    <x:sheet xmlns:r="http://schemas.openxmlformats.org/officeDocument/2006/relationships" name="Fontes e premissas" sheetId="4" r:id="R948d2b6ff0e44e8e"/>
  </x:sheets>
</x:workbook>
</file>

<file path=xl/comments1.xml><?xml version="1.0" encoding="utf-8"?>
<x:comments xmlns:x="http://schemas.openxmlformats.org/spreadsheetml/2006/main">
  <x:authors>
    <x:author>tc={B9E63FC7-567A-404A-80C6-256EB5A183A1}</x:author>
  </x:authors>
  <x:commentList>
    <x:comment ref="B9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Fonte: Hipótese de teste definida pela equipe: 2.180,44 × 1,05. Não é piso legal nem proposta aprovada.
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R$&quot; #,##0.00;-&quot;R$&quot; #,##0.00;&quot;R$&quot; 0.00"/>
    <x:numFmt numFmtId="201" formatCode="0.00%"/>
    <x:numFmt numFmtId="202" formatCode="&quot;R$&quot; #,##0.00"/>
  </x:numFmts>
  <x:fonts count="8">
    <x:font>
      <x:sz val="11"/>
      <x:name val="Carlito"/>
    </x:font>
    <x:font>
      <x:sz val="10"/>
      <x:name val="Arial"/>
    </x:font>
    <x:font>
      <x:b/>
      <x:sz val="14"/>
      <x:color rgb="FFFFFFFF"/>
      <x:name val="Arial"/>
    </x:font>
    <x:font>
      <x:b/>
      <x:sz val="12"/>
      <x:color rgb="FFFFFFFF"/>
      <x:name val="Arial"/>
    </x:font>
    <x:font>
      <x:b/>
      <x:sz val="11"/>
      <x:color rgb="FFFFFFFF"/>
      <x:name val="Arial"/>
    </x:font>
    <x:font>
      <x:b/>
      <x:sz val="10"/>
      <x:color rgb="FF000000"/>
      <x:name val="Arial"/>
    </x:font>
    <x:font>
      <x:b/>
      <x:sz val="16"/>
      <x:color rgb="FFFFFFFF"/>
      <x:name val="Arial"/>
    </x:font>
    <x:font>
      <x:sz val="10"/>
      <x:color rgb="FF0000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4F6228"/>
      </x:patternFill>
    </x:fill>
    <x:fill>
      <x:patternFill patternType="solid">
        <x:fgColor rgb="FFC4D79B"/>
      </x:patternFill>
    </x:fill>
    <x:fill>
      <x:patternFill patternType="solid">
        <x:fgColor rgb="FF403152"/>
      </x:patternFill>
    </x:fill>
    <x:fill>
      <x:patternFill patternType="solid">
        <x:fgColor rgb="FFB1A0C7"/>
      </x:patternFill>
    </x:fill>
    <x:fill>
      <x:patternFill patternType="solid">
        <x:fgColor rgb="FFFF0000"/>
      </x:patternFill>
    </x:fill>
    <x:fill>
      <x:patternFill patternType="solid">
        <x:fgColor rgb="FFE6B8B7"/>
      </x:patternFill>
    </x:fill>
    <x:fill>
      <x:patternFill patternType="solid">
        <x:fgColor rgb="FFFFF2CC"/>
      </x:patternFill>
    </x:fill>
  </x:fills>
  <x:borders count="4">
    <x:border/>
    <x:border>
      <x:bottom style="thin">
        <x:color rgb="FF4F6228"/>
      </x:bottom>
    </x:border>
    <x:border>
      <x:bottom style="thin">
        <x:color rgb="FF403152"/>
      </x:bottom>
    </x:border>
    <x:border>
      <x:bottom style="thin">
        <x:color rgb="FFFF0000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horizontal="right" vertical="center"/>
    </x:xf>
    <x:xf numFmtId="201" fontId="1" fillId="3" borderId="1" xfId="0" applyNumberFormat="1" applyFont="1" applyFill="1" applyBorder="1" applyAlignment="1">
      <x:alignment vertical="center"/>
    </x:xf>
    <x:xf numFmtId="201" fontId="1" fillId="3" borderId="1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3" borderId="1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right" vertical="center"/>
    </x:xf>
    <x:xf numFmtId="200" fontId="1" fillId="5" borderId="0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horizontal="right" vertical="center"/>
    </x:xf>
    <x:xf numFmtId="200" fontId="1" fillId="5" borderId="2" xfId="0" applyNumberFormat="1" applyFont="1" applyFill="1" applyBorder="1" applyAlignment="1">
      <x:alignment horizontal="right" vertical="center"/>
    </x:xf>
    <x:xf numFmtId="0" fontId="1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horizontal="right" vertical="center"/>
    </x:xf>
    <x:xf numFmtId="200" fontId="1" fillId="7" borderId="0" xfId="0" applyNumberFormat="1" applyFont="1" applyFill="1" applyBorder="1" applyAlignment="1">
      <x:alignment horizontal="right" vertical="center"/>
    </x:xf>
    <x:xf numFmtId="0" fontId="1" fillId="0" borderId="3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vertical="center"/>
    </x:xf>
    <x:xf numFmtId="0" fontId="1" fillId="7" borderId="3" xfId="0" applyNumberFormat="1" applyFont="1" applyFill="1" applyBorder="1" applyAlignment="1">
      <x:alignment horizontal="right" vertical="center"/>
    </x:xf>
    <x:xf numFmtId="200" fontId="1" fillId="7" borderId="3" xfId="0" applyNumberFormat="1" applyFont="1" applyFill="1" applyBorder="1" applyAlignment="1">
      <x:alignment horizontal="right" vertical="center"/>
    </x:xf>
    <x:xf numFmtId="201" fontId="1" fillId="6" borderId="0" xfId="0" applyNumberFormat="1" applyFont="1" applyFill="1" applyBorder="1" applyAlignment="1">
      <x:alignment horizontal="right" vertical="center"/>
    </x:xf>
    <x:xf numFmtId="0" fontId="6" fillId="6" borderId="0" xfId="0" applyNumberFormat="1" applyFont="1" applyFill="1" applyBorder="1" applyAlignment="1">
      <x:alignment vertical="center"/>
    </x:xf>
    <x:xf numFmtId="201" fontId="6" fillId="6" borderId="0" xfId="0" applyNumberFormat="1" applyFont="1" applyFill="1" applyBorder="1" applyAlignment="1">
      <x:alignment horizontal="right" vertical="center"/>
    </x:xf>
    <x:xf numFmtId="0" fontId="6" fillId="6" borderId="0" xfId="0" applyNumberFormat="1" applyFont="1" applyFill="1" applyBorder="1" applyAlignment="1">
      <x:alignment horizontal="center" vertical="center"/>
    </x:xf>
    <x:xf numFmtId="201" fontId="6" fillId="6" borderId="0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 applyAlignment="1">
      <x:alignment horizontal="center" vertical="center" wrapText="1"/>
    </x:xf>
    <x:xf numFmtId="201" fontId="6" fillId="6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horizontal="right" vertical="center"/>
    </x:xf>
    <x:xf numFmtId="200" fontId="1" fillId="8" borderId="0" xfId="0" applyNumberFormat="1" applyFont="1" applyFill="1" applyBorder="1" applyAlignment="1">
      <x:alignment horizontal="right" vertical="center"/>
    </x:xf>
    <x:xf numFmtId="0" fontId="7" fillId="8" borderId="0" xfId="0" applyNumberFormat="1" applyFont="1" applyFill="1" applyBorder="1" applyAlignment="1">
      <x:alignment vertical="center"/>
    </x:xf>
    <x:xf numFmtId="0" fontId="7" fillId="8" borderId="0" xfId="0" applyNumberFormat="1" applyFont="1" applyFill="1" applyBorder="1" applyAlignment="1">
      <x:alignment horizontal="right" vertical="center"/>
    </x:xf>
    <x:xf numFmtId="200" fontId="7" fillId="8" borderId="0" xfId="0" applyNumberFormat="1" applyFont="1" applyFill="1" applyBorder="1" applyAlignment="1">
      <x:alignment horizontal="right" vertical="center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horizontal="right" vertical="center" wrapText="1"/>
    </x:xf>
    <x:xf numFmtId="200" fontId="7" fillId="8" borderId="0" xfId="0" applyNumberFormat="1" applyFont="1" applyFill="1" applyBorder="1" applyAlignment="1">
      <x:alignment horizontal="right" vertical="center" wrapText="1"/>
    </x:xf>
    <x:xf numFmtId="200" fontId="7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7" fillId="8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32"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  <x:dxf>
      <x:font>
        <x:color rgb="FF000000"/>
      </x:font>
      <x:fill>
        <x:patternFill patternType="solid"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33de3a07d64bf4" /><Relationship Type="http://schemas.openxmlformats.org/officeDocument/2006/relationships/theme" Target="/xl/theme/theme1.xml" Id="Rb629a8dfdbd543dd" /><Relationship Type="http://schemas.openxmlformats.org/officeDocument/2006/relationships/sharedStrings" Target="/xl/sharedStrings.xml" Id="Raa05015322e440b6" /><Relationship Type="http://schemas.openxmlformats.org/officeDocument/2006/relationships/worksheet" Target="/xl/worksheets/sheet1.xml" Id="R341b1e1804264f80" /><Relationship Type="http://schemas.openxmlformats.org/officeDocument/2006/relationships/worksheet" Target="/xl/worksheets/sheet2.xml" Id="R96e67a7735c44ea4" /><Relationship Type="http://schemas.openxmlformats.org/officeDocument/2006/relationships/worksheet" Target="/xl/worksheets/sheet3.xml" Id="R86eea10d14154fc2" /><Relationship Type="http://schemas.openxmlformats.org/officeDocument/2006/relationships/worksheet" Target="/xl/worksheets/sheet4.xml" Id="R948d2b6ff0e44e8e" /><Relationship Type="http://schemas.microsoft.com/office/2017/10/relationships/person" Target="/xl/persons/person.xml" Id="R4ff84a0800614725" /></Relationships>
</file>

<file path=xl/persons/person.xml><?xml version="1.0" encoding="utf-8"?>
<xltc:personList xmlns:xltc="http://schemas.microsoft.com/office/spreadsheetml/2018/threadedcomments">
  <xltc:person displayName="Heryck" id="{77735128-49DF-48D8-BAF0-BF12EE764BA3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9" dT="2026-09-07T18:37:55.699" personId="{77735128-49DF-48D8-BAF0-BF12EE764BA3}" id="{B9E63FC7-567A-404A-80C6-256EB5A183A1}">
    <xltc:text>Fonte: Hipótese de teste definida pela equipe: 2.180,44 × 1,05. Não é piso legal nem proposta aprovada.
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041ae62eb8c0485f" /><Relationship Type="http://schemas.openxmlformats.org/officeDocument/2006/relationships/vmlDrawing" Target="/xl/drawings/vmldrawing.vml" Id="R144c717029504484" /><Relationship Type="http://schemas.microsoft.com/office/2017/10/relationships/threadedComment" Target="/xl/threadedcomments/threadedcomment.xml" Id="Rb7a689af625d4c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30" customHeight="1">
      <x:c r="A1" s="10" t="str">
        <x:v>ANÁLISE SALARIAL — CURITIBA / PR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</x:row>
    <x:row r="2" ht="30" customHeight="1">
      <x:c r="A2" s="12" t="str">
        <x:v>Auxiliar Administrativo Operacional · 2026 · 40 horas semanais · Portaria SMGP nº 4/2026, Anexo B1 — parte permanente; Lei nº 16.198/2023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</x:row>
    <x:row r="3" ht="30" customHeight="1">
      <x:c r="A3" s="12" t="str">
        <x:v>Referência: Cenário didático: base inicial +5% (cenario). Fonte, competência e decisões: aba Fontes e premissas.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</x:row>
    <x:row r="4" ht="22" customHeight="1">
      <x:c r="A4" s="2" t="str">
        <x:v>Base da referência:</x:v>
      </x:c>
      <x:c r="B4" s="2"/>
      <x:c r="C4" s="2"/>
      <x:c r="D4" s="4" t="n">
        <x:f>'Parâmetros'!B13</x:f>
        <x:v>2289.46</x:v>
      </x:c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0" customHeight="1">
      <x:c r="A5" s="12" t="str">
        <x:v>Continuação das classes/referências: I a XV. Nenhuma classe foi descartada.</x:v>
      </x:c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8" customHeight="1">
      <x:c r="A7" s="14" t="str">
        <x:v>ESTRUTURA DE PROMOÇÃO / PROGRESSÃO</x:v>
      </x:c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</x:row>
    <x:row r="8" ht="24" customHeight="1">
      <x:c r="A8" s="16" t="str">
        <x:v>AUXILIAR ADMINISTRATIVO OPERACIONAL — 40 HORAS</x:v>
      </x:c>
      <x:c r="B8" s="16"/>
      <x:c r="C8" s="16"/>
      <x:c r="D8" s="16"/>
      <x:c r="E8" s="16"/>
      <x:c r="F8" s="16"/>
      <x:c r="G8" s="16"/>
      <x:c r="H8" s="16"/>
      <x:c r="I8" s="16"/>
      <x:c r="J8" s="16"/>
      <x:c r="K8" s="16"/>
      <x:c r="L8" s="16"/>
      <x:c r="M8" s="16"/>
      <x:c r="N8" s="16"/>
      <x:c r="O8" s="16"/>
      <x:c r="P8" s="16"/>
      <x:c r="Q8" s="16"/>
      <x:c r="R8" s="16"/>
    </x:row>
    <x:row r="9" ht="28" customHeight="1">
      <x:c r="A9" s="19" t="str">
        <x:v>Classes →</x:v>
      </x:c>
      <x:c r="B9" s="19" t="str">
        <x:v>Nível</x:v>
      </x:c>
      <x:c r="C9" s="19" t="str">
        <x:v>Regra vertical</x:v>
      </x:c>
      <x:c r="D9" s="19" t="str">
        <x:v>I</x:v>
      </x:c>
      <x:c r="E9" s="19" t="str">
        <x:v>II</x:v>
      </x:c>
      <x:c r="F9" s="19" t="str">
        <x:v>III</x:v>
      </x:c>
      <x:c r="G9" s="19" t="str">
        <x:v>IV</x:v>
      </x:c>
      <x:c r="H9" s="19" t="str">
        <x:v>V</x:v>
      </x:c>
      <x:c r="I9" s="19" t="str">
        <x:v>VI</x:v>
      </x:c>
      <x:c r="J9" s="19" t="str">
        <x:v>VII</x:v>
      </x:c>
      <x:c r="K9" s="19" t="str">
        <x:v>VIII</x:v>
      </x:c>
      <x:c r="L9" s="19" t="str">
        <x:v>IX</x:v>
      </x:c>
      <x:c r="M9" s="19" t="str">
        <x:v>X</x:v>
      </x:c>
      <x:c r="N9" s="19" t="str">
        <x:v>XI</x:v>
      </x:c>
      <x:c r="O9" s="19" t="str">
        <x:v>XII</x:v>
      </x:c>
      <x:c r="P9" s="19" t="str">
        <x:v>XIII</x:v>
      </x:c>
      <x:c r="Q9" s="19" t="str">
        <x:v>XIV</x:v>
      </x:c>
      <x:c r="R9" s="19" t="str">
        <x:v>XV</x:v>
      </x:c>
    </x:row>
    <x:row r="10" ht="26" customHeight="1">
      <x:c r="A10" s="2" t="str">
        <x:v>Níveis ↓</x:v>
      </x:c>
      <x:c r="B10" s="2" t="str">
        <x:v>I</x:v>
      </x:c>
      <x:c r="C10" s="2" t="str">
        <x:v>Base</x:v>
      </x:c>
      <x:c r="D10" s="5" t="str">
        <x:v>Entrada</x:v>
      </x:c>
      <x:c r="E10" s="6" t="n">
        <x:f>'Parâmetros'!C27/100</x:f>
        <x:v>0.027999999999999997</x:v>
      </x:c>
      <x:c r="F10" s="6" t="n">
        <x:f>'Parâmetros'!C28/100</x:f>
        <x:v>0.027999999999999997</x:v>
      </x:c>
      <x:c r="G10" s="6" t="n">
        <x:f>'Parâmetros'!C29/100</x:f>
        <x:v>0.027999999999999997</x:v>
      </x:c>
      <x:c r="H10" s="6" t="n">
        <x:f>'Parâmetros'!C30/100</x:f>
        <x:v>0.027999999999999997</x:v>
      </x:c>
      <x:c r="I10" s="6" t="n">
        <x:f>'Parâmetros'!C31/100</x:f>
        <x:v>0.027999999999999997</x:v>
      </x:c>
      <x:c r="J10" s="6" t="n">
        <x:f>'Parâmetros'!C32/100</x:f>
        <x:v>0.027999999999999997</x:v>
      </x:c>
      <x:c r="K10" s="6" t="n">
        <x:f>'Parâmetros'!C33/100</x:f>
        <x:v>0.027999999999999997</x:v>
      </x:c>
      <x:c r="L10" s="6" t="n">
        <x:f>'Parâmetros'!C34/100</x:f>
        <x:v>0.027999999999999997</x:v>
      </x:c>
      <x:c r="M10" s="6" t="n">
        <x:f>'Parâmetros'!C35/100</x:f>
        <x:v>0.027999999999999997</x:v>
      </x:c>
      <x:c r="N10" s="6" t="n">
        <x:f>'Parâmetros'!C36/100</x:f>
        <x:v>0.027999999999999997</x:v>
      </x:c>
      <x:c r="O10" s="6" t="n">
        <x:f>'Parâmetros'!C37/100</x:f>
        <x:v>0.027999999999999997</x:v>
      </x:c>
      <x:c r="P10" s="6" t="n">
        <x:f>'Parâmetros'!C38/100</x:f>
        <x:v>0.027999999999999997</x:v>
      </x:c>
      <x:c r="Q10" s="6" t="n">
        <x:f>'Parâmetros'!C39/100</x:f>
        <x:v>0.027999999999999997</x:v>
      </x:c>
      <x:c r="R10" s="6" t="n">
        <x:f>'Parâmetros'!C40/100</x:f>
        <x:v>0.027999999999999997</x:v>
      </x:c>
    </x:row>
    <x:row r="11" ht="26" customHeight="1">
      <x:c r="A11" s="2"/>
      <x:c r="B11" s="17" t="str">
        <x:v>II</x:v>
      </x:c>
      <x:c r="C11" s="20" t="str">
        <x:f> "+"&amp;TEXT('Parâmetros'!D20,"0.00")&amp;IF('Parâmetros'!C20="valor_fixo"," R$ / ","% / ")&amp;'Parâmetros'!E20</x:f>
        <x:v>+15.00% / I</x:v>
      </x:c>
      <x:c r="D11" s="21" t="str">
        <x:v>Entrada</x:v>
      </x:c>
      <x:c r="E11" s="22" t="n">
        <x:f>'Parâmetros'!C27/100</x:f>
        <x:v>0.027999999999999997</x:v>
      </x:c>
      <x:c r="F11" s="22" t="n">
        <x:f>'Parâmetros'!C28/100</x:f>
        <x:v>0.027999999999999997</x:v>
      </x:c>
      <x:c r="G11" s="22" t="n">
        <x:f>'Parâmetros'!C29/100</x:f>
        <x:v>0.027999999999999997</x:v>
      </x:c>
      <x:c r="H11" s="22" t="n">
        <x:f>'Parâmetros'!C30/100</x:f>
        <x:v>0.027999999999999997</x:v>
      </x:c>
      <x:c r="I11" s="22" t="n">
        <x:f>'Parâmetros'!C31/100</x:f>
        <x:v>0.027999999999999997</x:v>
      </x:c>
      <x:c r="J11" s="22" t="n">
        <x:f>'Parâmetros'!C32/100</x:f>
        <x:v>0.027999999999999997</x:v>
      </x:c>
      <x:c r="K11" s="22" t="n">
        <x:f>'Parâmetros'!C33/100</x:f>
        <x:v>0.027999999999999997</x:v>
      </x:c>
      <x:c r="L11" s="22" t="n">
        <x:f>'Parâmetros'!C34/100</x:f>
        <x:v>0.027999999999999997</x:v>
      </x:c>
      <x:c r="M11" s="22" t="n">
        <x:f>'Parâmetros'!C35/100</x:f>
        <x:v>0.027999999999999997</x:v>
      </x:c>
      <x:c r="N11" s="22" t="n">
        <x:f>'Parâmetros'!C36/100</x:f>
        <x:v>0.027999999999999997</x:v>
      </x:c>
      <x:c r="O11" s="22" t="n">
        <x:f>'Parâmetros'!C37/100</x:f>
        <x:v>0.027999999999999997</x:v>
      </x:c>
      <x:c r="P11" s="22" t="n">
        <x:f>'Parâmetros'!C38/100</x:f>
        <x:v>0.027999999999999997</x:v>
      </x:c>
      <x:c r="Q11" s="22" t="n">
        <x:f>'Parâmetros'!C39/100</x:f>
        <x:v>0.027999999999999997</x:v>
      </x:c>
      <x:c r="R11" s="22" t="n">
        <x:f>'Parâmetros'!C40/100</x:f>
        <x:v>0.027999999999999997</x:v>
      </x:c>
    </x:row>
    <x:row r="12" ht="26" customHeight="1">
      <x:c r="A12" s="2"/>
      <x:c r="B12" s="2" t="str">
        <x:v>III</x:v>
      </x:c>
      <x:c r="C12" s="7" t="str">
        <x:f> "+"&amp;TEXT('Parâmetros'!D21,"0.00")&amp;IF('Parâmetros'!C21="valor_fixo"," R$ / ","% / ")&amp;'Parâmetros'!E21</x:f>
        <x:v>+15.00% / II</x:v>
      </x:c>
      <x:c r="D12" s="5" t="str">
        <x:v>Entrada</x:v>
      </x:c>
      <x:c r="E12" s="6" t="n">
        <x:f>'Parâmetros'!C27/100</x:f>
        <x:v>0.027999999999999997</x:v>
      </x:c>
      <x:c r="F12" s="6" t="n">
        <x:f>'Parâmetros'!C28/100</x:f>
        <x:v>0.027999999999999997</x:v>
      </x:c>
      <x:c r="G12" s="6" t="n">
        <x:f>'Parâmetros'!C29/100</x:f>
        <x:v>0.027999999999999997</x:v>
      </x:c>
      <x:c r="H12" s="6" t="n">
        <x:f>'Parâmetros'!C30/100</x:f>
        <x:v>0.027999999999999997</x:v>
      </x:c>
      <x:c r="I12" s="6" t="n">
        <x:f>'Parâmetros'!C31/100</x:f>
        <x:v>0.027999999999999997</x:v>
      </x:c>
      <x:c r="J12" s="6" t="n">
        <x:f>'Parâmetros'!C32/100</x:f>
        <x:v>0.027999999999999997</x:v>
      </x:c>
      <x:c r="K12" s="6" t="n">
        <x:f>'Parâmetros'!C33/100</x:f>
        <x:v>0.027999999999999997</x:v>
      </x:c>
      <x:c r="L12" s="6" t="n">
        <x:f>'Parâmetros'!C34/100</x:f>
        <x:v>0.027999999999999997</x:v>
      </x:c>
      <x:c r="M12" s="6" t="n">
        <x:f>'Parâmetros'!C35/100</x:f>
        <x:v>0.027999999999999997</x:v>
      </x:c>
      <x:c r="N12" s="6" t="n">
        <x:f>'Parâmetros'!C36/100</x:f>
        <x:v>0.027999999999999997</x:v>
      </x:c>
      <x:c r="O12" s="6" t="n">
        <x:f>'Parâmetros'!C37/100</x:f>
        <x:v>0.027999999999999997</x:v>
      </x:c>
      <x:c r="P12" s="6" t="n">
        <x:f>'Parâmetros'!C38/100</x:f>
        <x:v>0.027999999999999997</x:v>
      </x:c>
      <x:c r="Q12" s="6" t="n">
        <x:f>'Parâmetros'!C39/100</x:f>
        <x:v>0.027999999999999997</x:v>
      </x:c>
      <x:c r="R12" s="6" t="n">
        <x:f>'Parâmetros'!C40/100</x:f>
        <x:v>0.027999999999999997</x:v>
      </x:c>
    </x:row>
    <x:row r="13" ht="26" customHeight="1">
      <x:c r="A13" s="23"/>
      <x:c r="B13" s="24" t="str">
        <x:v>IV</x:v>
      </x:c>
      <x:c r="C13" s="25" t="str">
        <x:f> "+"&amp;TEXT('Parâmetros'!D22,"0.00")&amp;IF('Parâmetros'!C22="valor_fixo"," R$ / ","% / ")&amp;'Parâmetros'!E22</x:f>
        <x:v>+15.00% / III</x:v>
      </x:c>
      <x:c r="D13" s="26" t="str">
        <x:v>Entrada</x:v>
      </x:c>
      <x:c r="E13" s="27" t="n">
        <x:f>'Parâmetros'!C27/100</x:f>
        <x:v>0.027999999999999997</x:v>
      </x:c>
      <x:c r="F13" s="27" t="n">
        <x:f>'Parâmetros'!C28/100</x:f>
        <x:v>0.027999999999999997</x:v>
      </x:c>
      <x:c r="G13" s="27" t="n">
        <x:f>'Parâmetros'!C29/100</x:f>
        <x:v>0.027999999999999997</x:v>
      </x:c>
      <x:c r="H13" s="27" t="n">
        <x:f>'Parâmetros'!C30/100</x:f>
        <x:v>0.027999999999999997</x:v>
      </x:c>
      <x:c r="I13" s="27" t="n">
        <x:f>'Parâmetros'!C31/100</x:f>
        <x:v>0.027999999999999997</x:v>
      </x:c>
      <x:c r="J13" s="27" t="n">
        <x:f>'Parâmetros'!C32/100</x:f>
        <x:v>0.027999999999999997</x:v>
      </x:c>
      <x:c r="K13" s="27" t="n">
        <x:f>'Parâmetros'!C33/100</x:f>
        <x:v>0.027999999999999997</x:v>
      </x:c>
      <x:c r="L13" s="27" t="n">
        <x:f>'Parâmetros'!C34/100</x:f>
        <x:v>0.027999999999999997</x:v>
      </x:c>
      <x:c r="M13" s="27" t="n">
        <x:f>'Parâmetros'!C35/100</x:f>
        <x:v>0.027999999999999997</x:v>
      </x:c>
      <x:c r="N13" s="27" t="n">
        <x:f>'Parâmetros'!C36/100</x:f>
        <x:v>0.027999999999999997</x:v>
      </x:c>
      <x:c r="O13" s="27" t="n">
        <x:f>'Parâmetros'!C37/100</x:f>
        <x:v>0.027999999999999997</x:v>
      </x:c>
      <x:c r="P13" s="27" t="n">
        <x:f>'Parâmetros'!C38/100</x:f>
        <x:v>0.027999999999999997</x:v>
      </x:c>
      <x:c r="Q13" s="27" t="n">
        <x:f>'Parâmetros'!C39/100</x:f>
        <x:v>0.027999999999999997</x:v>
      </x:c>
      <x:c r="R13" s="27" t="n">
        <x:f>'Parâmetros'!C40/100</x:f>
        <x:v>0.027999999999999997</x:v>
      </x:c>
    </x:row>
    <x:row r="14" ht="22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2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8" customHeight="1">
      <x:c r="A16" s="14" t="str">
        <x:v>• TABELA DE VENCIMENTOS 2026 •</x:v>
      </x:c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</x:row>
    <x:row r="17" ht="24" customHeight="1">
      <x:c r="A17" s="16" t="str">
        <x:v>AUXILIAR ADMINISTRATIVO OPERACIONAL — 40 HORAS</x:v>
      </x:c>
      <x:c r="B17" s="16"/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  <x:c r="Q17" s="16"/>
      <x:c r="R17" s="16"/>
    </x:row>
    <x:row r="18" ht="28" customHeight="1">
      <x:c r="A18" s="19" t="str">
        <x:v>Classes →</x:v>
      </x:c>
      <x:c r="B18" s="19" t="str">
        <x:v>Nível</x:v>
      </x:c>
      <x:c r="C18" s="19" t="str">
        <x:v>Regra vertical</x:v>
      </x:c>
      <x:c r="D18" s="19" t="str">
        <x:v>I</x:v>
      </x:c>
      <x:c r="E18" s="19" t="str">
        <x:v>II</x:v>
      </x:c>
      <x:c r="F18" s="19" t="str">
        <x:v>III</x:v>
      </x:c>
      <x:c r="G18" s="19" t="str">
        <x:v>IV</x:v>
      </x:c>
      <x:c r="H18" s="19" t="str">
        <x:v>V</x:v>
      </x:c>
      <x:c r="I18" s="19" t="str">
        <x:v>VI</x:v>
      </x:c>
      <x:c r="J18" s="19" t="str">
        <x:v>VII</x:v>
      </x:c>
      <x:c r="K18" s="19" t="str">
        <x:v>VIII</x:v>
      </x:c>
      <x:c r="L18" s="19" t="str">
        <x:v>IX</x:v>
      </x:c>
      <x:c r="M18" s="19" t="str">
        <x:v>X</x:v>
      </x:c>
      <x:c r="N18" s="19" t="str">
        <x:v>XI</x:v>
      </x:c>
      <x:c r="O18" s="19" t="str">
        <x:v>XII</x:v>
      </x:c>
      <x:c r="P18" s="19" t="str">
        <x:v>XIII</x:v>
      </x:c>
      <x:c r="Q18" s="19" t="str">
        <x:v>XIV</x:v>
      </x:c>
      <x:c r="R18" s="19" t="str">
        <x:v>XV</x:v>
      </x:c>
    </x:row>
    <x:row r="19" ht="26" customHeight="1">
      <x:c r="A19" s="2" t="str">
        <x:v>Níveis ↓</x:v>
      </x:c>
      <x:c r="B19" s="2" t="str">
        <x:v>I</x:v>
      </x:c>
      <x:c r="C19" s="2" t="str">
        <x:v>Base</x:v>
      </x:c>
      <x:c r="D19" s="4" t="n">
        <x:f>'Dados originais'!D4</x:f>
        <x:v>2180.44</x:v>
      </x:c>
      <x:c r="E19" s="4" t="n">
        <x:f>'Dados originais'!E4</x:f>
        <x:v>2241.49</x:v>
      </x:c>
      <x:c r="F19" s="4" t="n">
        <x:f>'Dados originais'!F4</x:f>
        <x:v>2304.25</x:v>
      </x:c>
      <x:c r="G19" s="4" t="n">
        <x:f>'Dados originais'!G4</x:f>
        <x:v>2368.77</x:v>
      </x:c>
      <x:c r="H19" s="4" t="n">
        <x:f>'Dados originais'!H4</x:f>
        <x:v>2435.1</x:v>
      </x:c>
      <x:c r="I19" s="4" t="n">
        <x:f>'Dados originais'!I4</x:f>
        <x:v>2503.28</x:v>
      </x:c>
      <x:c r="J19" s="4" t="n">
        <x:f>'Dados originais'!J4</x:f>
        <x:v>2573.37</x:v>
      </x:c>
      <x:c r="K19" s="4" t="n">
        <x:f>'Dados originais'!K4</x:f>
        <x:v>2645.43</x:v>
      </x:c>
      <x:c r="L19" s="4" t="n">
        <x:f>'Dados originais'!L4</x:f>
        <x:v>2719.5</x:v>
      </x:c>
      <x:c r="M19" s="4" t="n">
        <x:f>'Dados originais'!M4</x:f>
        <x:v>2795.65</x:v>
      </x:c>
      <x:c r="N19" s="4" t="n">
        <x:f>'Dados originais'!N4</x:f>
        <x:v>2873.93</x:v>
      </x:c>
      <x:c r="O19" s="4" t="n">
        <x:f>'Dados originais'!O4</x:f>
        <x:v>2954.39</x:v>
      </x:c>
      <x:c r="P19" s="4" t="n">
        <x:f>'Dados originais'!P4</x:f>
        <x:v>3037.12</x:v>
      </x:c>
      <x:c r="Q19" s="4" t="n">
        <x:f>'Dados originais'!Q4</x:f>
        <x:v>3122.16</x:v>
      </x:c>
      <x:c r="R19" s="4" t="n">
        <x:f>'Dados originais'!R4</x:f>
        <x:v>3209.58</x:v>
      </x:c>
    </x:row>
    <x:row r="20" ht="26" customHeight="1">
      <x:c r="A20" s="2"/>
      <x:c r="B20" s="17" t="str">
        <x:v>II</x:v>
      </x:c>
      <x:c r="C20" s="20" t="str">
        <x:f> "+"&amp;TEXT('Parâmetros'!D20,"0.00")&amp;IF('Parâmetros'!C20="valor_fixo"," R$ / ","% / ")&amp;'Parâmetros'!E20</x:f>
        <x:v>+15.00% / I</x:v>
      </x:c>
      <x:c r="D20" s="28" t="n">
        <x:f>'Dados originais'!D5</x:f>
        <x:v>2507.51</x:v>
      </x:c>
      <x:c r="E20" s="28" t="n">
        <x:f>'Dados originais'!E5</x:f>
        <x:v>2577.72</x:v>
      </x:c>
      <x:c r="F20" s="28" t="n">
        <x:f>'Dados originais'!F5</x:f>
        <x:v>2649.89</x:v>
      </x:c>
      <x:c r="G20" s="28" t="n">
        <x:f>'Dados originais'!G5</x:f>
        <x:v>2724.09</x:v>
      </x:c>
      <x:c r="H20" s="28" t="n">
        <x:f>'Dados originais'!H5</x:f>
        <x:v>2800.36</x:v>
      </x:c>
      <x:c r="I20" s="28" t="n">
        <x:f>'Dados originais'!I5</x:f>
        <x:v>2878.77</x:v>
      </x:c>
      <x:c r="J20" s="28" t="n">
        <x:f>'Dados originais'!J5</x:f>
        <x:v>2959.38</x:v>
      </x:c>
      <x:c r="K20" s="28" t="n">
        <x:f>'Dados originais'!K5</x:f>
        <x:v>3042.24</x:v>
      </x:c>
      <x:c r="L20" s="28" t="n">
        <x:f>'Dados originais'!L5</x:f>
        <x:v>3127.43</x:v>
      </x:c>
      <x:c r="M20" s="28" t="n">
        <x:f>'Dados originais'!M5</x:f>
        <x:v>3214.99</x:v>
      </x:c>
      <x:c r="N20" s="28" t="n">
        <x:f>'Dados originais'!N5</x:f>
        <x:v>3305.01</x:v>
      </x:c>
      <x:c r="O20" s="28" t="n">
        <x:f>'Dados originais'!O5</x:f>
        <x:v>3397.55</x:v>
      </x:c>
      <x:c r="P20" s="28" t="n">
        <x:f>'Dados originais'!P5</x:f>
        <x:v>3492.69</x:v>
      </x:c>
      <x:c r="Q20" s="28" t="n">
        <x:f>'Dados originais'!Q5</x:f>
        <x:v>3590.48</x:v>
      </x:c>
      <x:c r="R20" s="28" t="n">
        <x:f>'Dados originais'!R5</x:f>
        <x:v>3691.01</x:v>
      </x:c>
    </x:row>
    <x:row r="21" ht="26" customHeight="1">
      <x:c r="A21" s="2"/>
      <x:c r="B21" s="2" t="str">
        <x:v>III</x:v>
      </x:c>
      <x:c r="C21" s="7" t="str">
        <x:f> "+"&amp;TEXT('Parâmetros'!D21,"0.00")&amp;IF('Parâmetros'!C21="valor_fixo"," R$ / ","% / ")&amp;'Parâmetros'!E21</x:f>
        <x:v>+15.00% / II</x:v>
      </x:c>
      <x:c r="D21" s="4" t="n">
        <x:f>'Dados originais'!D6</x:f>
        <x:v>2883.63</x:v>
      </x:c>
      <x:c r="E21" s="4" t="n">
        <x:f>'Dados originais'!E6</x:f>
        <x:v>2964.37</x:v>
      </x:c>
      <x:c r="F21" s="4" t="n">
        <x:f>'Dados originais'!F6</x:f>
        <x:v>3047.38</x:v>
      </x:c>
      <x:c r="G21" s="4" t="n">
        <x:f>'Dados originais'!G6</x:f>
        <x:v>3132.7</x:v>
      </x:c>
      <x:c r="H21" s="4" t="n">
        <x:f>'Dados originais'!H6</x:f>
        <x:v>3220.42</x:v>
      </x:c>
      <x:c r="I21" s="4" t="n">
        <x:f>'Dados originais'!I6</x:f>
        <x:v>3310.59</x:v>
      </x:c>
      <x:c r="J21" s="4" t="n">
        <x:f>'Dados originais'!J6</x:f>
        <x:v>3403.29</x:v>
      </x:c>
      <x:c r="K21" s="4" t="n">
        <x:f>'Dados originais'!K6</x:f>
        <x:v>3498.58</x:v>
      </x:c>
      <x:c r="L21" s="4" t="n">
        <x:f>'Dados originais'!L6</x:f>
        <x:v>3596.54</x:v>
      </x:c>
      <x:c r="M21" s="4" t="n">
        <x:f>'Dados originais'!M6</x:f>
        <x:v>3697.24</x:v>
      </x:c>
      <x:c r="N21" s="4" t="n">
        <x:f>'Dados originais'!N6</x:f>
        <x:v>3800.77</x:v>
      </x:c>
      <x:c r="O21" s="4" t="n">
        <x:f>'Dados originais'!O6</x:f>
        <x:v>3907.19</x:v>
      </x:c>
      <x:c r="P21" s="4" t="n">
        <x:f>'Dados originais'!P6</x:f>
        <x:v>4016.59</x:v>
      </x:c>
      <x:c r="Q21" s="4" t="n">
        <x:f>'Dados originais'!Q6</x:f>
        <x:v>4129.05</x:v>
      </x:c>
      <x:c r="R21" s="4" t="n">
        <x:f>'Dados originais'!R6</x:f>
        <x:v>4244.67</x:v>
      </x:c>
    </x:row>
    <x:row r="22" ht="26" customHeight="1">
      <x:c r="A22" s="23"/>
      <x:c r="B22" s="24" t="str">
        <x:v>IV</x:v>
      </x:c>
      <x:c r="C22" s="25" t="str">
        <x:f> "+"&amp;TEXT('Parâmetros'!D22,"0.00")&amp;IF('Parâmetros'!C22="valor_fixo"," R$ / ","% / ")&amp;'Parâmetros'!E22</x:f>
        <x:v>+15.00% / III</x:v>
      </x:c>
      <x:c r="D22" s="29" t="n">
        <x:f>'Dados originais'!D7</x:f>
        <x:v>3316.18</x:v>
      </x:c>
      <x:c r="E22" s="29" t="n">
        <x:f>'Dados originais'!E7</x:f>
        <x:v>3409.03</x:v>
      </x:c>
      <x:c r="F22" s="29" t="n">
        <x:f>'Dados originais'!F7</x:f>
        <x:v>3504.48</x:v>
      </x:c>
      <x:c r="G22" s="29" t="n">
        <x:f>'Dados originais'!G7</x:f>
        <x:v>3602.61</x:v>
      </x:c>
      <x:c r="H22" s="29" t="n">
        <x:f>'Dados originais'!H7</x:f>
        <x:v>3703.48</x:v>
      </x:c>
      <x:c r="I22" s="29" t="n">
        <x:f>'Dados originais'!I7</x:f>
        <x:v>3807.18</x:v>
      </x:c>
      <x:c r="J22" s="29" t="n">
        <x:f>'Dados originais'!J7</x:f>
        <x:v>3913.78</x:v>
      </x:c>
      <x:c r="K22" s="29" t="n">
        <x:f>'Dados originais'!K7</x:f>
        <x:v>4023.37</x:v>
      </x:c>
      <x:c r="L22" s="29" t="n">
        <x:f>'Dados originais'!L7</x:f>
        <x:v>4136.02</x:v>
      </x:c>
      <x:c r="M22" s="29" t="n">
        <x:f>'Dados originais'!M7</x:f>
        <x:v>4251.83</x:v>
      </x:c>
      <x:c r="N22" s="29" t="n">
        <x:f>'Dados originais'!N7</x:f>
        <x:v>4370.88</x:v>
      </x:c>
      <x:c r="O22" s="29" t="n">
        <x:f>'Dados originais'!O7</x:f>
        <x:v>4493.27</x:v>
      </x:c>
      <x:c r="P22" s="29" t="n">
        <x:f>'Dados originais'!P7</x:f>
        <x:v>4619.08</x:v>
      </x:c>
      <x:c r="Q22" s="29" t="n">
        <x:f>'Dados originais'!Q7</x:f>
        <x:v>4748.41</x:v>
      </x:c>
      <x:c r="R22" s="29" t="n">
        <x:f>'Dados originais'!R7</x:f>
        <x:v>4881.37</x:v>
      </x:c>
    </x:row>
    <x:row r="23" ht="22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</x:row>
    <x:row r="25" ht="28" customHeight="1">
      <x:c r="A25" s="32" t="str">
        <x:v>• TABELA DE VENCIMENTOS — REFERÊNCIA Cenário didático: base inicial +5% •</x:v>
      </x:c>
      <x:c r="B25" s="32"/>
      <x:c r="C25" s="3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24" customHeight="1">
      <x:c r="A26" s="34" t="str">
        <x:v>AUXILIAR ADMINISTRATIVO OPERACIONAL — 40 HORAS</x:v>
      </x:c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  <x:c r="N26" s="34"/>
      <x:c r="O26" s="34"/>
      <x:c r="P26" s="34"/>
      <x:c r="Q26" s="34"/>
      <x:c r="R26" s="34"/>
    </x:row>
    <x:row r="27" ht="28" customHeight="1">
      <x:c r="A27" s="37" t="str">
        <x:v>Classes →</x:v>
      </x:c>
      <x:c r="B27" s="37" t="str">
        <x:v>Nível</x:v>
      </x:c>
      <x:c r="C27" s="37" t="str">
        <x:v>Regra vertical</x:v>
      </x:c>
      <x:c r="D27" s="37" t="str">
        <x:v>I</x:v>
      </x:c>
      <x:c r="E27" s="37" t="str">
        <x:v>II</x:v>
      </x:c>
      <x:c r="F27" s="37" t="str">
        <x:v>III</x:v>
      </x:c>
      <x:c r="G27" s="37" t="str">
        <x:v>IV</x:v>
      </x:c>
      <x:c r="H27" s="37" t="str">
        <x:v>V</x:v>
      </x:c>
      <x:c r="I27" s="37" t="str">
        <x:v>VI</x:v>
      </x:c>
      <x:c r="J27" s="37" t="str">
        <x:v>VII</x:v>
      </x:c>
      <x:c r="K27" s="37" t="str">
        <x:v>VIII</x:v>
      </x:c>
      <x:c r="L27" s="37" t="str">
        <x:v>IX</x:v>
      </x:c>
      <x:c r="M27" s="37" t="str">
        <x:v>X</x:v>
      </x:c>
      <x:c r="N27" s="37" t="str">
        <x:v>XI</x:v>
      </x:c>
      <x:c r="O27" s="37" t="str">
        <x:v>XII</x:v>
      </x:c>
      <x:c r="P27" s="37" t="str">
        <x:v>XIII</x:v>
      </x:c>
      <x:c r="Q27" s="37" t="str">
        <x:v>XIV</x:v>
      </x:c>
      <x:c r="R27" s="37" t="str">
        <x:v>XV</x:v>
      </x:c>
    </x:row>
    <x:row r="28" ht="26" customHeight="1">
      <x:c r="A28" s="2" t="str">
        <x:v>Níveis ↓</x:v>
      </x:c>
      <x:c r="B28" s="2" t="str">
        <x:v>I</x:v>
      </x:c>
      <x:c r="C28" s="2" t="str">
        <x:v>Base</x:v>
      </x:c>
      <x:c r="D28" s="4" t="n">
        <x:f>'Parâmetros'!B13</x:f>
        <x:v>2289.46</x:v>
      </x:c>
      <x:c r="E28" s="4" t="n">
        <x:f>IF('Parâmetros'!$B$12="truncar",ROUNDDOWN(D28*(1+'Parâmetros'!C27/100),2),ROUND(D28*(1+'Parâmetros'!C27/100),2))</x:f>
        <x:v>2353.56</x:v>
      </x:c>
      <x:c r="F28" s="4" t="n">
        <x:f>IF('Parâmetros'!$B$12="truncar",ROUNDDOWN(E28*(1+'Parâmetros'!C28/100),2),ROUND(E28*(1+'Parâmetros'!C28/100),2))</x:f>
        <x:v>2419.46</x:v>
      </x:c>
      <x:c r="G28" s="4" t="n">
        <x:f>IF('Parâmetros'!$B$12="truncar",ROUNDDOWN(F28*(1+'Parâmetros'!C29/100),2),ROUND(F28*(1+'Parâmetros'!C29/100),2))</x:f>
        <x:v>2487.2</x:v>
      </x:c>
      <x:c r="H28" s="4" t="n">
        <x:f>IF('Parâmetros'!$B$12="truncar",ROUNDDOWN(G28*(1+'Parâmetros'!C30/100),2),ROUND(G28*(1+'Parâmetros'!C30/100),2))</x:f>
        <x:v>2556.84</x:v>
      </x:c>
      <x:c r="I28" s="4" t="n">
        <x:f>IF('Parâmetros'!$B$12="truncar",ROUNDDOWN(H28*(1+'Parâmetros'!C31/100),2),ROUND(H28*(1+'Parâmetros'!C31/100),2))</x:f>
        <x:v>2628.43</x:v>
      </x:c>
      <x:c r="J28" s="4" t="n">
        <x:f>IF('Parâmetros'!$B$12="truncar",ROUNDDOWN(I28*(1+'Parâmetros'!C32/100),2),ROUND(I28*(1+'Parâmetros'!C32/100),2))</x:f>
        <x:v>2702.03</x:v>
      </x:c>
      <x:c r="K28" s="4" t="n">
        <x:f>IF('Parâmetros'!$B$12="truncar",ROUNDDOWN(J28*(1+'Parâmetros'!C33/100),2),ROUND(J28*(1+'Parâmetros'!C33/100),2))</x:f>
        <x:v>2777.69</x:v>
      </x:c>
      <x:c r="L28" s="4" t="n">
        <x:f>IF('Parâmetros'!$B$12="truncar",ROUNDDOWN(K28*(1+'Parâmetros'!C34/100),2),ROUND(K28*(1+'Parâmetros'!C34/100),2))</x:f>
        <x:v>2855.47</x:v>
      </x:c>
      <x:c r="M28" s="4" t="n">
        <x:f>IF('Parâmetros'!$B$12="truncar",ROUNDDOWN(L28*(1+'Parâmetros'!C35/100),2),ROUND(L28*(1+'Parâmetros'!C35/100),2))</x:f>
        <x:v>2935.42</x:v>
      </x:c>
      <x:c r="N28" s="4" t="n">
        <x:f>IF('Parâmetros'!$B$12="truncar",ROUNDDOWN(M28*(1+'Parâmetros'!C36/100),2),ROUND(M28*(1+'Parâmetros'!C36/100),2))</x:f>
        <x:v>3017.61</x:v>
      </x:c>
      <x:c r="O28" s="4" t="n">
        <x:f>IF('Parâmetros'!$B$12="truncar",ROUNDDOWN(N28*(1+'Parâmetros'!C37/100),2),ROUND(N28*(1+'Parâmetros'!C37/100),2))</x:f>
        <x:v>3102.1</x:v>
      </x:c>
      <x:c r="P28" s="4" t="n">
        <x:f>IF('Parâmetros'!$B$12="truncar",ROUNDDOWN(O28*(1+'Parâmetros'!C38/100),2),ROUND(O28*(1+'Parâmetros'!C38/100),2))</x:f>
        <x:v>3188.96</x:v>
      </x:c>
      <x:c r="Q28" s="4" t="n">
        <x:f>IF('Parâmetros'!$B$12="truncar",ROUNDDOWN(P28*(1+'Parâmetros'!C39/100),2),ROUND(P28*(1+'Parâmetros'!C39/100),2))</x:f>
        <x:v>3278.25</x:v>
      </x:c>
      <x:c r="R28" s="4" t="n">
        <x:f>IF('Parâmetros'!$B$12="truncar",ROUNDDOWN(Q28*(1+'Parâmetros'!C40/100),2),ROUND(Q28*(1+'Parâmetros'!C40/100),2))</x:f>
        <x:v>3370.04</x:v>
      </x:c>
    </x:row>
    <x:row r="29" ht="26" customHeight="1">
      <x:c r="A29" s="2"/>
      <x:c r="B29" s="35" t="str">
        <x:v>II</x:v>
      </x:c>
      <x:c r="C29" s="38" t="str">
        <x:f> "+"&amp;TEXT('Parâmetros'!D20,"0.00")&amp;IF('Parâmetros'!C20="valor_fixo"," R$ / ","% / ")&amp;'Parâmetros'!E20</x:f>
        <x:v>+15.00% / I</x:v>
      </x:c>
      <x:c r="D29" s="39" t="n">
        <x:f>IF('Parâmetros'!$B$12="truncar",ROUNDDOWN(IF('Parâmetros'!C20="valor_fixo",SUMIF('Parâmetros'!$A$19:$A$19,'Parâmetros'!E20,$D$28:$D$28)+'Parâmetros'!D20,SUMIF('Parâmetros'!$A$19:$A$19,'Parâmetros'!E20,$D$28:$D$28)*(1+'Parâmetros'!D20/100)),2),ROUND(IF('Parâmetros'!C20="valor_fixo",SUMIF('Parâmetros'!$A$19:$A$19,'Parâmetros'!E20,$D$28:$D$28)+'Parâmetros'!D20,SUMIF('Parâmetros'!$A$19:$A$19,'Parâmetros'!E20,$D$28:$D$28)*(1+'Parâmetros'!D20/100)),2))</x:f>
        <x:v>2632.88</x:v>
      </x:c>
      <x:c r="E29" s="39" t="n">
        <x:f>IF('Parâmetros'!$B$12="truncar",ROUNDDOWN(D29*(1+'Parâmetros'!C27/100),2),ROUND(D29*(1+'Parâmetros'!C27/100),2))</x:f>
        <x:v>2706.6</x:v>
      </x:c>
      <x:c r="F29" s="39" t="n">
        <x:f>IF('Parâmetros'!$B$12="truncar",ROUNDDOWN(E29*(1+'Parâmetros'!C28/100),2),ROUND(E29*(1+'Parâmetros'!C28/100),2))</x:f>
        <x:v>2782.38</x:v>
      </x:c>
      <x:c r="G29" s="39" t="n">
        <x:f>IF('Parâmetros'!$B$12="truncar",ROUNDDOWN(F29*(1+'Parâmetros'!C29/100),2),ROUND(F29*(1+'Parâmetros'!C29/100),2))</x:f>
        <x:v>2860.29</x:v>
      </x:c>
      <x:c r="H29" s="39" t="n">
        <x:f>IF('Parâmetros'!$B$12="truncar",ROUNDDOWN(G29*(1+'Parâmetros'!C30/100),2),ROUND(G29*(1+'Parâmetros'!C30/100),2))</x:f>
        <x:v>2940.38</x:v>
      </x:c>
      <x:c r="I29" s="39" t="n">
        <x:f>IF('Parâmetros'!$B$12="truncar",ROUNDDOWN(H29*(1+'Parâmetros'!C31/100),2),ROUND(H29*(1+'Parâmetros'!C31/100),2))</x:f>
        <x:v>3022.71</x:v>
      </x:c>
      <x:c r="J29" s="39" t="n">
        <x:f>IF('Parâmetros'!$B$12="truncar",ROUNDDOWN(I29*(1+'Parâmetros'!C32/100),2),ROUND(I29*(1+'Parâmetros'!C32/100),2))</x:f>
        <x:v>3107.35</x:v>
      </x:c>
      <x:c r="K29" s="39" t="n">
        <x:f>IF('Parâmetros'!$B$12="truncar",ROUNDDOWN(J29*(1+'Parâmetros'!C33/100),2),ROUND(J29*(1+'Parâmetros'!C33/100),2))</x:f>
        <x:v>3194.36</x:v>
      </x:c>
      <x:c r="L29" s="39" t="n">
        <x:f>IF('Parâmetros'!$B$12="truncar",ROUNDDOWN(K29*(1+'Parâmetros'!C34/100),2),ROUND(K29*(1+'Parâmetros'!C34/100),2))</x:f>
        <x:v>3283.8</x:v>
      </x:c>
      <x:c r="M29" s="39" t="n">
        <x:f>IF('Parâmetros'!$B$12="truncar",ROUNDDOWN(L29*(1+'Parâmetros'!C35/100),2),ROUND(L29*(1+'Parâmetros'!C35/100),2))</x:f>
        <x:v>3375.75</x:v>
      </x:c>
      <x:c r="N29" s="39" t="n">
        <x:f>IF('Parâmetros'!$B$12="truncar",ROUNDDOWN(M29*(1+'Parâmetros'!C36/100),2),ROUND(M29*(1+'Parâmetros'!C36/100),2))</x:f>
        <x:v>3470.27</x:v>
      </x:c>
      <x:c r="O29" s="39" t="n">
        <x:f>IF('Parâmetros'!$B$12="truncar",ROUNDDOWN(N29*(1+'Parâmetros'!C37/100),2),ROUND(N29*(1+'Parâmetros'!C37/100),2))</x:f>
        <x:v>3567.44</x:v>
      </x:c>
      <x:c r="P29" s="39" t="n">
        <x:f>IF('Parâmetros'!$B$12="truncar",ROUNDDOWN(O29*(1+'Parâmetros'!C38/100),2),ROUND(O29*(1+'Parâmetros'!C38/100),2))</x:f>
        <x:v>3667.33</x:v>
      </x:c>
      <x:c r="Q29" s="39" t="n">
        <x:f>IF('Parâmetros'!$B$12="truncar",ROUNDDOWN(P29*(1+'Parâmetros'!C39/100),2),ROUND(P29*(1+'Parâmetros'!C39/100),2))</x:f>
        <x:v>3770.02</x:v>
      </x:c>
      <x:c r="R29" s="39" t="n">
        <x:f>IF('Parâmetros'!$B$12="truncar",ROUNDDOWN(Q29*(1+'Parâmetros'!C40/100),2),ROUND(Q29*(1+'Parâmetros'!C40/100),2))</x:f>
        <x:v>3875.58</x:v>
      </x:c>
    </x:row>
    <x:row r="30" ht="26" customHeight="1">
      <x:c r="A30" s="2"/>
      <x:c r="B30" s="2" t="str">
        <x:v>III</x:v>
      </x:c>
      <x:c r="C30" s="7" t="str">
        <x:f> "+"&amp;TEXT('Parâmetros'!D21,"0.00")&amp;IF('Parâmetros'!C21="valor_fixo"," R$ / ","% / ")&amp;'Parâmetros'!E21</x:f>
        <x:v>+15.00% / II</x:v>
      </x:c>
      <x:c r="D30" s="4" t="n">
        <x:f>IF('Parâmetros'!$B$12="truncar",ROUNDDOWN(IF('Parâmetros'!C21="valor_fixo",SUMIF('Parâmetros'!$A$19:$A$20,'Parâmetros'!E21,$D$28:$D$29)+'Parâmetros'!D21,SUMIF('Parâmetros'!$A$19:$A$20,'Parâmetros'!E21,$D$28:$D$29)*(1+'Parâmetros'!D21/100)),2),ROUND(IF('Parâmetros'!C21="valor_fixo",SUMIF('Parâmetros'!$A$19:$A$20,'Parâmetros'!E21,$D$28:$D$29)+'Parâmetros'!D21,SUMIF('Parâmetros'!$A$19:$A$20,'Parâmetros'!E21,$D$28:$D$29)*(1+'Parâmetros'!D21/100)),2))</x:f>
        <x:v>3027.81</x:v>
      </x:c>
      <x:c r="E30" s="4" t="n">
        <x:f>IF('Parâmetros'!$B$12="truncar",ROUNDDOWN(D30*(1+'Parâmetros'!C27/100),2),ROUND(D30*(1+'Parâmetros'!C27/100),2))</x:f>
        <x:v>3112.59</x:v>
      </x:c>
      <x:c r="F30" s="4" t="n">
        <x:f>IF('Parâmetros'!$B$12="truncar",ROUNDDOWN(E30*(1+'Parâmetros'!C28/100),2),ROUND(E30*(1+'Parâmetros'!C28/100),2))</x:f>
        <x:v>3199.74</x:v>
      </x:c>
      <x:c r="G30" s="4" t="n">
        <x:f>IF('Parâmetros'!$B$12="truncar",ROUNDDOWN(F30*(1+'Parâmetros'!C29/100),2),ROUND(F30*(1+'Parâmetros'!C29/100),2))</x:f>
        <x:v>3289.33</x:v>
      </x:c>
      <x:c r="H30" s="4" t="n">
        <x:f>IF('Parâmetros'!$B$12="truncar",ROUNDDOWN(G30*(1+'Parâmetros'!C30/100),2),ROUND(G30*(1+'Parâmetros'!C30/100),2))</x:f>
        <x:v>3381.43</x:v>
      </x:c>
      <x:c r="I30" s="4" t="n">
        <x:f>IF('Parâmetros'!$B$12="truncar",ROUNDDOWN(H30*(1+'Parâmetros'!C31/100),2),ROUND(H30*(1+'Parâmetros'!C31/100),2))</x:f>
        <x:v>3476.11</x:v>
      </x:c>
      <x:c r="J30" s="4" t="n">
        <x:f>IF('Parâmetros'!$B$12="truncar",ROUNDDOWN(I30*(1+'Parâmetros'!C32/100),2),ROUND(I30*(1+'Parâmetros'!C32/100),2))</x:f>
        <x:v>3573.44</x:v>
      </x:c>
      <x:c r="K30" s="4" t="n">
        <x:f>IF('Parâmetros'!$B$12="truncar",ROUNDDOWN(J30*(1+'Parâmetros'!C33/100),2),ROUND(J30*(1+'Parâmetros'!C33/100),2))</x:f>
        <x:v>3673.5</x:v>
      </x:c>
      <x:c r="L30" s="4" t="n">
        <x:f>IF('Parâmetros'!$B$12="truncar",ROUNDDOWN(K30*(1+'Parâmetros'!C34/100),2),ROUND(K30*(1+'Parâmetros'!C34/100),2))</x:f>
        <x:v>3776.36</x:v>
      </x:c>
      <x:c r="M30" s="4" t="n">
        <x:f>IF('Parâmetros'!$B$12="truncar",ROUNDDOWN(L30*(1+'Parâmetros'!C35/100),2),ROUND(L30*(1+'Parâmetros'!C35/100),2))</x:f>
        <x:v>3882.1</x:v>
      </x:c>
      <x:c r="N30" s="4" t="n">
        <x:f>IF('Parâmetros'!$B$12="truncar",ROUNDDOWN(M30*(1+'Parâmetros'!C36/100),2),ROUND(M30*(1+'Parâmetros'!C36/100),2))</x:f>
        <x:v>3990.8</x:v>
      </x:c>
      <x:c r="O30" s="4" t="n">
        <x:f>IF('Parâmetros'!$B$12="truncar",ROUNDDOWN(N30*(1+'Parâmetros'!C37/100),2),ROUND(N30*(1+'Parâmetros'!C37/100),2))</x:f>
        <x:v>4102.54</x:v>
      </x:c>
      <x:c r="P30" s="4" t="n">
        <x:f>IF('Parâmetros'!$B$12="truncar",ROUNDDOWN(O30*(1+'Parâmetros'!C38/100),2),ROUND(O30*(1+'Parâmetros'!C38/100),2))</x:f>
        <x:v>4217.41</x:v>
      </x:c>
      <x:c r="Q30" s="4" t="n">
        <x:f>IF('Parâmetros'!$B$12="truncar",ROUNDDOWN(P30*(1+'Parâmetros'!C39/100),2),ROUND(P30*(1+'Parâmetros'!C39/100),2))</x:f>
        <x:v>4335.5</x:v>
      </x:c>
      <x:c r="R30" s="4" t="n">
        <x:f>IF('Parâmetros'!$B$12="truncar",ROUNDDOWN(Q30*(1+'Parâmetros'!C40/100),2),ROUND(Q30*(1+'Parâmetros'!C40/100),2))</x:f>
        <x:v>4456.89</x:v>
      </x:c>
    </x:row>
    <x:row r="31" ht="26" customHeight="1">
      <x:c r="A31" s="40"/>
      <x:c r="B31" s="41" t="str">
        <x:v>IV</x:v>
      </x:c>
      <x:c r="C31" s="42" t="str">
        <x:f> "+"&amp;TEXT('Parâmetros'!D22,"0.00")&amp;IF('Parâmetros'!C22="valor_fixo"," R$ / ","% / ")&amp;'Parâmetros'!E22</x:f>
        <x:v>+15.00% / III</x:v>
      </x:c>
      <x:c r="D31" s="43" t="n">
        <x:f>IF('Parâmetros'!$B$12="truncar",ROUNDDOWN(IF('Parâmetros'!C22="valor_fixo",SUMIF('Parâmetros'!$A$19:$A$21,'Parâmetros'!E22,$D$28:$D$30)+'Parâmetros'!D22,SUMIF('Parâmetros'!$A$19:$A$21,'Parâmetros'!E22,$D$28:$D$30)*(1+'Parâmetros'!D22/100)),2),ROUND(IF('Parâmetros'!C22="valor_fixo",SUMIF('Parâmetros'!$A$19:$A$21,'Parâmetros'!E22,$D$28:$D$30)+'Parâmetros'!D22,SUMIF('Parâmetros'!$A$19:$A$21,'Parâmetros'!E22,$D$28:$D$30)*(1+'Parâmetros'!D22/100)),2))</x:f>
        <x:v>3481.98</x:v>
      </x:c>
      <x:c r="E31" s="43" t="n">
        <x:f>IF('Parâmetros'!$B$12="truncar",ROUNDDOWN(D31*(1+'Parâmetros'!C27/100),2),ROUND(D31*(1+'Parâmetros'!C27/100),2))</x:f>
        <x:v>3579.48</x:v>
      </x:c>
      <x:c r="F31" s="43" t="n">
        <x:f>IF('Parâmetros'!$B$12="truncar",ROUNDDOWN(E31*(1+'Parâmetros'!C28/100),2),ROUND(E31*(1+'Parâmetros'!C28/100),2))</x:f>
        <x:v>3679.71</x:v>
      </x:c>
      <x:c r="G31" s="43" t="n">
        <x:f>IF('Parâmetros'!$B$12="truncar",ROUNDDOWN(F31*(1+'Parâmetros'!C29/100),2),ROUND(F31*(1+'Parâmetros'!C29/100),2))</x:f>
        <x:v>3782.74</x:v>
      </x:c>
      <x:c r="H31" s="43" t="n">
        <x:f>IF('Parâmetros'!$B$12="truncar",ROUNDDOWN(G31*(1+'Parâmetros'!C30/100),2),ROUND(G31*(1+'Parâmetros'!C30/100),2))</x:f>
        <x:v>3888.66</x:v>
      </x:c>
      <x:c r="I31" s="43" t="n">
        <x:f>IF('Parâmetros'!$B$12="truncar",ROUNDDOWN(H31*(1+'Parâmetros'!C31/100),2),ROUND(H31*(1+'Parâmetros'!C31/100),2))</x:f>
        <x:v>3997.54</x:v>
      </x:c>
      <x:c r="J31" s="43" t="n">
        <x:f>IF('Parâmetros'!$B$12="truncar",ROUNDDOWN(I31*(1+'Parâmetros'!C32/100),2),ROUND(I31*(1+'Parâmetros'!C32/100),2))</x:f>
        <x:v>4109.47</x:v>
      </x:c>
      <x:c r="K31" s="43" t="n">
        <x:f>IF('Parâmetros'!$B$12="truncar",ROUNDDOWN(J31*(1+'Parâmetros'!C33/100),2),ROUND(J31*(1+'Parâmetros'!C33/100),2))</x:f>
        <x:v>4224.54</x:v>
      </x:c>
      <x:c r="L31" s="43" t="n">
        <x:f>IF('Parâmetros'!$B$12="truncar",ROUNDDOWN(K31*(1+'Parâmetros'!C34/100),2),ROUND(K31*(1+'Parâmetros'!C34/100),2))</x:f>
        <x:v>4342.83</x:v>
      </x:c>
      <x:c r="M31" s="43" t="n">
        <x:f>IF('Parâmetros'!$B$12="truncar",ROUNDDOWN(L31*(1+'Parâmetros'!C35/100),2),ROUND(L31*(1+'Parâmetros'!C35/100),2))</x:f>
        <x:v>4464.43</x:v>
      </x:c>
      <x:c r="N31" s="43" t="n">
        <x:f>IF('Parâmetros'!$B$12="truncar",ROUNDDOWN(M31*(1+'Parâmetros'!C36/100),2),ROUND(M31*(1+'Parâmetros'!C36/100),2))</x:f>
        <x:v>4589.43</x:v>
      </x:c>
      <x:c r="O31" s="43" t="n">
        <x:f>IF('Parâmetros'!$B$12="truncar",ROUNDDOWN(N31*(1+'Parâmetros'!C37/100),2),ROUND(N31*(1+'Parâmetros'!C37/100),2))</x:f>
        <x:v>4717.93</x:v>
      </x:c>
      <x:c r="P31" s="43" t="n">
        <x:f>IF('Parâmetros'!$B$12="truncar",ROUNDDOWN(O31*(1+'Parâmetros'!C38/100),2),ROUND(O31*(1+'Parâmetros'!C38/100),2))</x:f>
        <x:v>4850.03</x:v>
      </x:c>
      <x:c r="Q31" s="43" t="n">
        <x:f>IF('Parâmetros'!$B$12="truncar",ROUNDDOWN(P31*(1+'Parâmetros'!C39/100),2),ROUND(P31*(1+'Parâmetros'!C39/100),2))</x:f>
        <x:v>4985.83</x:v>
      </x:c>
      <x:c r="R31" s="43" t="n">
        <x:f>IF('Parâmetros'!$B$12="truncar",ROUNDDOWN(Q31*(1+'Parâmetros'!C40/100),2),ROUND(Q31*(1+'Parâmetros'!C40/100),2))</x:f>
        <x:v>5125.43</x:v>
      </x:c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</x:row>
    <x:row r="34" ht="35" customHeight="1">
      <x:c r="A34" s="12" t="str">
        <x:f>"Neste bloco: "&amp;SUMPRODUCT(--(D19:R22&lt;D28:R31))&amp;" vencimentos abaixo da referência de carreira; "&amp;COUNTIF(D19:R22,"&lt;"&amp;$D$4)&amp;" abaixo da base inicial (em vermelho)."</x:f>
        <x:v>Neste bloco: 60 vencimentos abaixo da referência de carreira; 2 abaixo da base inicial (em vermelho).</x:v>
      </x:c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</x:row>
    <x:row r="36" ht="28" customHeight="1">
      <x:c r="A36" s="14" t="str">
        <x:v>NÃO CONFORMIDADES EM RELAÇÃO À REFERÊNCIA</x:v>
      </x:c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</x:row>
    <x:row r="37" ht="24" customHeight="1">
      <x:c r="A37" s="16" t="str">
        <x:v>AUXILIAR ADMINISTRATIVO OPERACIONAL — 40 HORAS</x:v>
      </x:c>
      <x:c r="B37" s="16"/>
      <x:c r="C37" s="16"/>
      <x:c r="D37" s="16"/>
      <x:c r="E37" s="16"/>
      <x:c r="F37" s="16"/>
      <x:c r="G37" s="16"/>
      <x:c r="H37" s="16"/>
      <x:c r="I37" s="16"/>
      <x:c r="J37" s="16"/>
      <x:c r="K37" s="16"/>
      <x:c r="L37" s="16"/>
      <x:c r="M37" s="16"/>
      <x:c r="N37" s="16"/>
      <x:c r="O37" s="16"/>
      <x:c r="P37" s="16"/>
      <x:c r="Q37" s="16"/>
      <x:c r="R37" s="16"/>
    </x:row>
    <x:row r="38" ht="28" customHeight="1">
      <x:c r="A38" s="19" t="str">
        <x:v>Classes →</x:v>
      </x:c>
      <x:c r="B38" s="19" t="str">
        <x:v>Nível</x:v>
      </x:c>
      <x:c r="C38" s="19" t="str">
        <x:v>Regra vertical</x:v>
      </x:c>
      <x:c r="D38" s="19" t="str">
        <x:v>I</x:v>
      </x:c>
      <x:c r="E38" s="19" t="str">
        <x:v>II</x:v>
      </x:c>
      <x:c r="F38" s="19" t="str">
        <x:v>III</x:v>
      </x:c>
      <x:c r="G38" s="19" t="str">
        <x:v>IV</x:v>
      </x:c>
      <x:c r="H38" s="19" t="str">
        <x:v>V</x:v>
      </x:c>
      <x:c r="I38" s="19" t="str">
        <x:v>VI</x:v>
      </x:c>
      <x:c r="J38" s="19" t="str">
        <x:v>VII</x:v>
      </x:c>
      <x:c r="K38" s="19" t="str">
        <x:v>VIII</x:v>
      </x:c>
      <x:c r="L38" s="19" t="str">
        <x:v>IX</x:v>
      </x:c>
      <x:c r="M38" s="19" t="str">
        <x:v>X</x:v>
      </x:c>
      <x:c r="N38" s="19" t="str">
        <x:v>XI</x:v>
      </x:c>
      <x:c r="O38" s="19" t="str">
        <x:v>XII</x:v>
      </x:c>
      <x:c r="P38" s="19" t="str">
        <x:v>XIII</x:v>
      </x:c>
      <x:c r="Q38" s="19" t="str">
        <x:v>XIV</x:v>
      </x:c>
      <x:c r="R38" s="19" t="str">
        <x:v>XV</x:v>
      </x:c>
    </x:row>
    <x:row r="39" ht="26" customHeight="1">
      <x:c r="A39" s="2" t="str">
        <x:v>Níveis ↓</x:v>
      </x:c>
      <x:c r="B39" s="2" t="str">
        <x:v>I</x:v>
      </x:c>
      <x:c r="C39" s="2" t="str">
        <x:v>Base</x:v>
      </x:c>
      <x:c r="D39" s="4" t="n">
        <x:f>'Dados originais'!D4</x:f>
        <x:v>2180.44</x:v>
      </x:c>
      <x:c r="E39" s="4" t="n">
        <x:f>'Dados originais'!E4</x:f>
        <x:v>2241.49</x:v>
      </x:c>
      <x:c r="F39" s="4" t="n">
        <x:f>'Dados originais'!F4</x:f>
        <x:v>2304.25</x:v>
      </x:c>
      <x:c r="G39" s="4" t="n">
        <x:f>'Dados originais'!G4</x:f>
        <x:v>2368.77</x:v>
      </x:c>
      <x:c r="H39" s="4" t="n">
        <x:f>'Dados originais'!H4</x:f>
        <x:v>2435.1</x:v>
      </x:c>
      <x:c r="I39" s="4" t="n">
        <x:f>'Dados originais'!I4</x:f>
        <x:v>2503.28</x:v>
      </x:c>
      <x:c r="J39" s="4" t="n">
        <x:f>'Dados originais'!J4</x:f>
        <x:v>2573.37</x:v>
      </x:c>
      <x:c r="K39" s="4" t="n">
        <x:f>'Dados originais'!K4</x:f>
        <x:v>2645.43</x:v>
      </x:c>
      <x:c r="L39" s="4" t="n">
        <x:f>'Dados originais'!L4</x:f>
        <x:v>2719.5</x:v>
      </x:c>
      <x:c r="M39" s="4" t="n">
        <x:f>'Dados originais'!M4</x:f>
        <x:v>2795.65</x:v>
      </x:c>
      <x:c r="N39" s="4" t="n">
        <x:f>'Dados originais'!N4</x:f>
        <x:v>2873.93</x:v>
      </x:c>
      <x:c r="O39" s="4" t="n">
        <x:f>'Dados originais'!O4</x:f>
        <x:v>2954.39</x:v>
      </x:c>
      <x:c r="P39" s="4" t="n">
        <x:f>'Dados originais'!P4</x:f>
        <x:v>3037.12</x:v>
      </x:c>
      <x:c r="Q39" s="4" t="n">
        <x:f>'Dados originais'!Q4</x:f>
        <x:v>3122.16</x:v>
      </x:c>
      <x:c r="R39" s="4" t="n">
        <x:f>'Dados originais'!R4</x:f>
        <x:v>3209.58</x:v>
      </x:c>
    </x:row>
    <x:row r="40" ht="26" customHeight="1">
      <x:c r="A40" s="2"/>
      <x:c r="B40" s="17" t="str">
        <x:v>II</x:v>
      </x:c>
      <x:c r="C40" s="20" t="str">
        <x:f> "+"&amp;TEXT('Parâmetros'!D20,"0.00")&amp;IF('Parâmetros'!C20="valor_fixo"," R$ / ","% / ")&amp;'Parâmetros'!E20</x:f>
        <x:v>+15.00% / I</x:v>
      </x:c>
      <x:c r="D40" s="28" t="n">
        <x:f>'Dados originais'!D5</x:f>
        <x:v>2507.51</x:v>
      </x:c>
      <x:c r="E40" s="28" t="n">
        <x:f>'Dados originais'!E5</x:f>
        <x:v>2577.72</x:v>
      </x:c>
      <x:c r="F40" s="28" t="n">
        <x:f>'Dados originais'!F5</x:f>
        <x:v>2649.89</x:v>
      </x:c>
      <x:c r="G40" s="28" t="n">
        <x:f>'Dados originais'!G5</x:f>
        <x:v>2724.09</x:v>
      </x:c>
      <x:c r="H40" s="28" t="n">
        <x:f>'Dados originais'!H5</x:f>
        <x:v>2800.36</x:v>
      </x:c>
      <x:c r="I40" s="28" t="n">
        <x:f>'Dados originais'!I5</x:f>
        <x:v>2878.77</x:v>
      </x:c>
      <x:c r="J40" s="28" t="n">
        <x:f>'Dados originais'!J5</x:f>
        <x:v>2959.38</x:v>
      </x:c>
      <x:c r="K40" s="28" t="n">
        <x:f>'Dados originais'!K5</x:f>
        <x:v>3042.24</x:v>
      </x:c>
      <x:c r="L40" s="28" t="n">
        <x:f>'Dados originais'!L5</x:f>
        <x:v>3127.43</x:v>
      </x:c>
      <x:c r="M40" s="28" t="n">
        <x:f>'Dados originais'!M5</x:f>
        <x:v>3214.99</x:v>
      </x:c>
      <x:c r="N40" s="28" t="n">
        <x:f>'Dados originais'!N5</x:f>
        <x:v>3305.01</x:v>
      </x:c>
      <x:c r="O40" s="28" t="n">
        <x:f>'Dados originais'!O5</x:f>
        <x:v>3397.55</x:v>
      </x:c>
      <x:c r="P40" s="28" t="n">
        <x:f>'Dados originais'!P5</x:f>
        <x:v>3492.69</x:v>
      </x:c>
      <x:c r="Q40" s="28" t="n">
        <x:f>'Dados originais'!Q5</x:f>
        <x:v>3590.48</x:v>
      </x:c>
      <x:c r="R40" s="28" t="n">
        <x:f>'Dados originais'!R5</x:f>
        <x:v>3691.01</x:v>
      </x:c>
    </x:row>
    <x:row r="41" ht="26" customHeight="1">
      <x:c r="A41" s="2"/>
      <x:c r="B41" s="2" t="str">
        <x:v>III</x:v>
      </x:c>
      <x:c r="C41" s="7" t="str">
        <x:f> "+"&amp;TEXT('Parâmetros'!D21,"0.00")&amp;IF('Parâmetros'!C21="valor_fixo"," R$ / ","% / ")&amp;'Parâmetros'!E21</x:f>
        <x:v>+15.00% / II</x:v>
      </x:c>
      <x:c r="D41" s="4" t="n">
        <x:f>'Dados originais'!D6</x:f>
        <x:v>2883.63</x:v>
      </x:c>
      <x:c r="E41" s="4" t="n">
        <x:f>'Dados originais'!E6</x:f>
        <x:v>2964.37</x:v>
      </x:c>
      <x:c r="F41" s="4" t="n">
        <x:f>'Dados originais'!F6</x:f>
        <x:v>3047.38</x:v>
      </x:c>
      <x:c r="G41" s="4" t="n">
        <x:f>'Dados originais'!G6</x:f>
        <x:v>3132.7</x:v>
      </x:c>
      <x:c r="H41" s="4" t="n">
        <x:f>'Dados originais'!H6</x:f>
        <x:v>3220.42</x:v>
      </x:c>
      <x:c r="I41" s="4" t="n">
        <x:f>'Dados originais'!I6</x:f>
        <x:v>3310.59</x:v>
      </x:c>
      <x:c r="J41" s="4" t="n">
        <x:f>'Dados originais'!J6</x:f>
        <x:v>3403.29</x:v>
      </x:c>
      <x:c r="K41" s="4" t="n">
        <x:f>'Dados originais'!K6</x:f>
        <x:v>3498.58</x:v>
      </x:c>
      <x:c r="L41" s="4" t="n">
        <x:f>'Dados originais'!L6</x:f>
        <x:v>3596.54</x:v>
      </x:c>
      <x:c r="M41" s="4" t="n">
        <x:f>'Dados originais'!M6</x:f>
        <x:v>3697.24</x:v>
      </x:c>
      <x:c r="N41" s="4" t="n">
        <x:f>'Dados originais'!N6</x:f>
        <x:v>3800.77</x:v>
      </x:c>
      <x:c r="O41" s="4" t="n">
        <x:f>'Dados originais'!O6</x:f>
        <x:v>3907.19</x:v>
      </x:c>
      <x:c r="P41" s="4" t="n">
        <x:f>'Dados originais'!P6</x:f>
        <x:v>4016.59</x:v>
      </x:c>
      <x:c r="Q41" s="4" t="n">
        <x:f>'Dados originais'!Q6</x:f>
        <x:v>4129.05</x:v>
      </x:c>
      <x:c r="R41" s="4" t="n">
        <x:f>'Dados originais'!R6</x:f>
        <x:v>4244.67</x:v>
      </x:c>
    </x:row>
    <x:row r="42" ht="26" customHeight="1">
      <x:c r="A42" s="23"/>
      <x:c r="B42" s="24" t="str">
        <x:v>IV</x:v>
      </x:c>
      <x:c r="C42" s="25" t="str">
        <x:f> "+"&amp;TEXT('Parâmetros'!D22,"0.00")&amp;IF('Parâmetros'!C22="valor_fixo"," R$ / ","% / ")&amp;'Parâmetros'!E22</x:f>
        <x:v>+15.00% / III</x:v>
      </x:c>
      <x:c r="D42" s="29" t="n">
        <x:f>'Dados originais'!D7</x:f>
        <x:v>3316.18</x:v>
      </x:c>
      <x:c r="E42" s="29" t="n">
        <x:f>'Dados originais'!E7</x:f>
        <x:v>3409.03</x:v>
      </x:c>
      <x:c r="F42" s="29" t="n">
        <x:f>'Dados originais'!F7</x:f>
        <x:v>3504.48</x:v>
      </x:c>
      <x:c r="G42" s="29" t="n">
        <x:f>'Dados originais'!G7</x:f>
        <x:v>3602.61</x:v>
      </x:c>
      <x:c r="H42" s="29" t="n">
        <x:f>'Dados originais'!H7</x:f>
        <x:v>3703.48</x:v>
      </x:c>
      <x:c r="I42" s="29" t="n">
        <x:f>'Dados originais'!I7</x:f>
        <x:v>3807.18</x:v>
      </x:c>
      <x:c r="J42" s="29" t="n">
        <x:f>'Dados originais'!J7</x:f>
        <x:v>3913.78</x:v>
      </x:c>
      <x:c r="K42" s="29" t="n">
        <x:f>'Dados originais'!K7</x:f>
        <x:v>4023.37</x:v>
      </x:c>
      <x:c r="L42" s="29" t="n">
        <x:f>'Dados originais'!L7</x:f>
        <x:v>4136.02</x:v>
      </x:c>
      <x:c r="M42" s="29" t="n">
        <x:f>'Dados originais'!M7</x:f>
        <x:v>4251.83</x:v>
      </x:c>
      <x:c r="N42" s="29" t="n">
        <x:f>'Dados originais'!N7</x:f>
        <x:v>4370.88</x:v>
      </x:c>
      <x:c r="O42" s="29" t="n">
        <x:f>'Dados originais'!O7</x:f>
        <x:v>4493.27</x:v>
      </x:c>
      <x:c r="P42" s="29" t="n">
        <x:f>'Dados originais'!P7</x:f>
        <x:v>4619.08</x:v>
      </x:c>
      <x:c r="Q42" s="29" t="n">
        <x:f>'Dados originais'!Q7</x:f>
        <x:v>4748.41</x:v>
      </x:c>
      <x:c r="R42" s="29" t="n">
        <x:f>'Dados originais'!R7</x:f>
        <x:v>4881.37</x:v>
      </x:c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</x:row>
    <x:row r="45" ht="28" customHeight="1">
      <x:c r="A45" s="46" t="str">
        <x:v>• DEFASAGEM SALARIAL MENSAL •</x:v>
      </x:c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  <x:c r="N45" s="46"/>
      <x:c r="O45" s="46"/>
      <x:c r="P45" s="46"/>
      <x:c r="Q45" s="46"/>
      <x:c r="R45" s="46"/>
    </x:row>
    <x:row r="46" ht="24" customHeight="1">
      <x:c r="A46" s="48" t="str">
        <x:v>AUXILIAR ADMINISTRATIVO OPERACIONAL — 40 HORAS</x:v>
      </x:c>
      <x:c r="B46" s="48"/>
      <x:c r="C46" s="48"/>
      <x:c r="D46" s="48"/>
      <x:c r="E46" s="48"/>
      <x:c r="F46" s="48"/>
      <x:c r="G46" s="48"/>
      <x:c r="H46" s="48"/>
      <x:c r="I46" s="48"/>
      <x:c r="J46" s="48"/>
      <x:c r="K46" s="48"/>
      <x:c r="L46" s="48"/>
      <x:c r="M46" s="48"/>
      <x:c r="N46" s="48"/>
      <x:c r="O46" s="48"/>
      <x:c r="P46" s="48"/>
      <x:c r="Q46" s="48"/>
      <x:c r="R46" s="48"/>
    </x:row>
    <x:row r="47" ht="28" customHeight="1">
      <x:c r="A47" s="51" t="str">
        <x:v>Classes →</x:v>
      </x:c>
      <x:c r="B47" s="51" t="str">
        <x:v>Nível</x:v>
      </x:c>
      <x:c r="C47" s="51" t="str">
        <x:v>Regra vertical</x:v>
      </x:c>
      <x:c r="D47" s="51" t="str">
        <x:v>I</x:v>
      </x:c>
      <x:c r="E47" s="51" t="str">
        <x:v>II</x:v>
      </x:c>
      <x:c r="F47" s="51" t="str">
        <x:v>III</x:v>
      </x:c>
      <x:c r="G47" s="51" t="str">
        <x:v>IV</x:v>
      </x:c>
      <x:c r="H47" s="51" t="str">
        <x:v>V</x:v>
      </x:c>
      <x:c r="I47" s="51" t="str">
        <x:v>VI</x:v>
      </x:c>
      <x:c r="J47" s="51" t="str">
        <x:v>VII</x:v>
      </x:c>
      <x:c r="K47" s="51" t="str">
        <x:v>VIII</x:v>
      </x:c>
      <x:c r="L47" s="51" t="str">
        <x:v>IX</x:v>
      </x:c>
      <x:c r="M47" s="51" t="str">
        <x:v>X</x:v>
      </x:c>
      <x:c r="N47" s="51" t="str">
        <x:v>XI</x:v>
      </x:c>
      <x:c r="O47" s="51" t="str">
        <x:v>XII</x:v>
      </x:c>
      <x:c r="P47" s="51" t="str">
        <x:v>XIII</x:v>
      </x:c>
      <x:c r="Q47" s="51" t="str">
        <x:v>XIV</x:v>
      </x:c>
      <x:c r="R47" s="51" t="str">
        <x:v>XV</x:v>
      </x:c>
    </x:row>
    <x:row r="48" ht="26" customHeight="1">
      <x:c r="A48" s="2" t="str">
        <x:v>Níveis ↓</x:v>
      </x:c>
      <x:c r="B48" s="2" t="str">
        <x:v>I</x:v>
      </x:c>
      <x:c r="C48" s="2" t="str">
        <x:v>Base</x:v>
      </x:c>
      <x:c r="D48" s="4" t="n">
        <x:f>D19-D28</x:f>
        <x:v>-109.01999999999998</x:v>
      </x:c>
      <x:c r="E48" s="4" t="n">
        <x:f>E19-E28</x:f>
        <x:v>-112.07000000000016</x:v>
      </x:c>
      <x:c r="F48" s="4" t="n">
        <x:f>F19-F28</x:f>
        <x:v>-115.21000000000004</x:v>
      </x:c>
      <x:c r="G48" s="4" t="n">
        <x:f>G19-G28</x:f>
        <x:v>-118.42999999999984</x:v>
      </x:c>
      <x:c r="H48" s="4" t="n">
        <x:f>H19-H28</x:f>
        <x:v>-121.74000000000024</x:v>
      </x:c>
      <x:c r="I48" s="4" t="n">
        <x:f>I19-I28</x:f>
        <x:v>-125.14999999999964</x:v>
      </x:c>
      <x:c r="J48" s="4" t="n">
        <x:f>J19-J28</x:f>
        <x:v>-128.6600000000003</x:v>
      </x:c>
      <x:c r="K48" s="4" t="n">
        <x:f>K19-K28</x:f>
        <x:v>-132.26000000000022</x:v>
      </x:c>
      <x:c r="L48" s="4" t="n">
        <x:f>L19-L28</x:f>
        <x:v>-135.9699999999998</x:v>
      </x:c>
      <x:c r="M48" s="4" t="n">
        <x:f>M19-M28</x:f>
        <x:v>-139.76999999999998</x:v>
      </x:c>
      <x:c r="N48" s="4" t="n">
        <x:f>N19-N28</x:f>
        <x:v>-143.6800000000003</x:v>
      </x:c>
      <x:c r="O48" s="4" t="n">
        <x:f>O19-O28</x:f>
        <x:v>-147.71000000000004</x:v>
      </x:c>
      <x:c r="P48" s="4" t="n">
        <x:f>P19-P28</x:f>
        <x:v>-151.84000000000015</x:v>
      </x:c>
      <x:c r="Q48" s="4" t="n">
        <x:f>Q19-Q28</x:f>
        <x:v>-156.09000000000015</x:v>
      </x:c>
      <x:c r="R48" s="4" t="n">
        <x:f>R19-R28</x:f>
        <x:v>-160.46000000000004</x:v>
      </x:c>
    </x:row>
    <x:row r="49" ht="26" customHeight="1">
      <x:c r="A49" s="2"/>
      <x:c r="B49" s="49" t="str">
        <x:v>II</x:v>
      </x:c>
      <x:c r="C49" s="52" t="str">
        <x:f> "+"&amp;TEXT('Parâmetros'!D20,"0.00")&amp;IF('Parâmetros'!C20="valor_fixo"," R$ / ","% / ")&amp;'Parâmetros'!E20</x:f>
        <x:v>+15.00% / I</x:v>
      </x:c>
      <x:c r="D49" s="53" t="n">
        <x:f>D20-D29</x:f>
        <x:v>-125.36999999999989</x:v>
      </x:c>
      <x:c r="E49" s="53" t="n">
        <x:f>E20-E29</x:f>
        <x:v>-128.8800000000001</x:v>
      </x:c>
      <x:c r="F49" s="53" t="n">
        <x:f>F20-F29</x:f>
        <x:v>-132.49000000000024</x:v>
      </x:c>
      <x:c r="G49" s="53" t="n">
        <x:f>G20-G29</x:f>
        <x:v>-136.19999999999982</x:v>
      </x:c>
      <x:c r="H49" s="53" t="n">
        <x:f>H20-H29</x:f>
        <x:v>-140.01999999999998</x:v>
      </x:c>
      <x:c r="I49" s="53" t="n">
        <x:f>I20-I29</x:f>
        <x:v>-143.94000000000005</x:v>
      </x:c>
      <x:c r="J49" s="53" t="n">
        <x:f>J20-J29</x:f>
        <x:v>-147.9699999999998</x:v>
      </x:c>
      <x:c r="K49" s="53" t="n">
        <x:f>K20-K29</x:f>
        <x:v>-152.12000000000035</x:v>
      </x:c>
      <x:c r="L49" s="53" t="n">
        <x:f>L20-L29</x:f>
        <x:v>-156.37000000000035</x:v>
      </x:c>
      <x:c r="M49" s="53" t="n">
        <x:f>M20-M29</x:f>
        <x:v>-160.76000000000022</x:v>
      </x:c>
      <x:c r="N49" s="53" t="n">
        <x:f>N20-N29</x:f>
        <x:v>-165.25999999999976</x:v>
      </x:c>
      <x:c r="O49" s="53" t="n">
        <x:f>O20-O29</x:f>
        <x:v>-169.88999999999987</x:v>
      </x:c>
      <x:c r="P49" s="53" t="n">
        <x:f>P20-P29</x:f>
        <x:v>-174.63999999999987</x:v>
      </x:c>
      <x:c r="Q49" s="53" t="n">
        <x:f>Q20-Q29</x:f>
        <x:v>-179.53999999999996</x:v>
      </x:c>
      <x:c r="R49" s="53" t="n">
        <x:f>R20-R29</x:f>
        <x:v>-184.5699999999997</x:v>
      </x:c>
    </x:row>
    <x:row r="50" ht="26" customHeight="1">
      <x:c r="A50" s="2"/>
      <x:c r="B50" s="2" t="str">
        <x:v>III</x:v>
      </x:c>
      <x:c r="C50" s="7" t="str">
        <x:f> "+"&amp;TEXT('Parâmetros'!D21,"0.00")&amp;IF('Parâmetros'!C21="valor_fixo"," R$ / ","% / ")&amp;'Parâmetros'!E21</x:f>
        <x:v>+15.00% / II</x:v>
      </x:c>
      <x:c r="D50" s="4" t="n">
        <x:f>D21-D30</x:f>
        <x:v>-144.17999999999984</x:v>
      </x:c>
      <x:c r="E50" s="4" t="n">
        <x:f>E21-E30</x:f>
        <x:v>-148.22000000000025</x:v>
      </x:c>
      <x:c r="F50" s="4" t="n">
        <x:f>F21-F30</x:f>
        <x:v>-152.35999999999967</x:v>
      </x:c>
      <x:c r="G50" s="4" t="n">
        <x:f>G21-G30</x:f>
        <x:v>-156.6300000000001</x:v>
      </x:c>
      <x:c r="H50" s="4" t="n">
        <x:f>H21-H30</x:f>
        <x:v>-161.00999999999976</x:v>
      </x:c>
      <x:c r="I50" s="4" t="n">
        <x:f>I21-I30</x:f>
        <x:v>-165.51999999999998</x:v>
      </x:c>
      <x:c r="J50" s="4" t="n">
        <x:f>J21-J30</x:f>
        <x:v>-170.1500000000001</x:v>
      </x:c>
      <x:c r="K50" s="4" t="n">
        <x:f>K21-K30</x:f>
        <x:v>-174.92000000000007</x:v>
      </x:c>
      <x:c r="L50" s="4" t="n">
        <x:f>L21-L30</x:f>
        <x:v>-179.82000000000016</x:v>
      </x:c>
      <x:c r="M50" s="4" t="n">
        <x:f>M21-M30</x:f>
        <x:v>-184.86000000000013</x:v>
      </x:c>
      <x:c r="N50" s="4" t="n">
        <x:f>N21-N30</x:f>
        <x:v>-190.0300000000002</x:v>
      </x:c>
      <x:c r="O50" s="4" t="n">
        <x:f>O21-O30</x:f>
        <x:v>-195.3499999999999</x:v>
      </x:c>
      <x:c r="P50" s="4" t="n">
        <x:f>P21-P30</x:f>
        <x:v>-200.8199999999997</x:v>
      </x:c>
      <x:c r="Q50" s="4" t="n">
        <x:f>Q21-Q30</x:f>
        <x:v>-206.44999999999982</x:v>
      </x:c>
      <x:c r="R50" s="4" t="n">
        <x:f>R21-R30</x:f>
        <x:v>-212.22000000000025</x:v>
      </x:c>
    </x:row>
    <x:row r="51" ht="26" customHeight="1">
      <x:c r="A51" s="54"/>
      <x:c r="B51" s="55" t="str">
        <x:v>IV</x:v>
      </x:c>
      <x:c r="C51" s="56" t="str">
        <x:f> "+"&amp;TEXT('Parâmetros'!D22,"0.00")&amp;IF('Parâmetros'!C22="valor_fixo"," R$ / ","% / ")&amp;'Parâmetros'!E22</x:f>
        <x:v>+15.00% / III</x:v>
      </x:c>
      <x:c r="D51" s="57" t="n">
        <x:f>D22-D31</x:f>
        <x:v>-165.80000000000018</x:v>
      </x:c>
      <x:c r="E51" s="57" t="n">
        <x:f>E22-E31</x:f>
        <x:v>-170.44999999999982</x:v>
      </x:c>
      <x:c r="F51" s="57" t="n">
        <x:f>F22-F31</x:f>
        <x:v>-175.23000000000002</x:v>
      </x:c>
      <x:c r="G51" s="57" t="n">
        <x:f>G22-G31</x:f>
        <x:v>-180.12999999999965</x:v>
      </x:c>
      <x:c r="H51" s="57" t="n">
        <x:f>H22-H31</x:f>
        <x:v>-185.17999999999984</x:v>
      </x:c>
      <x:c r="I51" s="57" t="n">
        <x:f>I22-I31</x:f>
        <x:v>-190.36000000000013</x:v>
      </x:c>
      <x:c r="J51" s="57" t="n">
        <x:f>J22-J31</x:f>
        <x:v>-195.69000000000005</x:v>
      </x:c>
      <x:c r="K51" s="57" t="n">
        <x:f>K22-K31</x:f>
        <x:v>-201.17000000000007</x:v>
      </x:c>
      <x:c r="L51" s="57" t="n">
        <x:f>L22-L31</x:f>
        <x:v>-206.8099999999995</x:v>
      </x:c>
      <x:c r="M51" s="57" t="n">
        <x:f>M22-M31</x:f>
        <x:v>-212.60000000000036</x:v>
      </x:c>
      <x:c r="N51" s="57" t="n">
        <x:f>N22-N31</x:f>
        <x:v>-218.55000000000018</x:v>
      </x:c>
      <x:c r="O51" s="57" t="n">
        <x:f>O22-O31</x:f>
        <x:v>-224.65999999999985</x:v>
      </x:c>
      <x:c r="P51" s="57" t="n">
        <x:f>P22-P31</x:f>
        <x:v>-230.94999999999982</x:v>
      </x:c>
      <x:c r="Q51" s="57" t="n">
        <x:f>Q22-Q31</x:f>
        <x:v>-237.42000000000007</x:v>
      </x:c>
      <x:c r="R51" s="57" t="n">
        <x:f>R22-R31</x:f>
        <x:v>-244.0600000000004</x:v>
      </x:c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</x:row>
    <x:row r="54" ht="30" customHeight="1">
      <x:c r="A54" s="12" t="str">
        <x:v>Defasagem = referência ÷ atual − 1. Diferença mensal = atual − referência; negativa indica valor abaixo da referência.</x:v>
      </x:c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</x:row>
    <x:row r="56" ht="30" customHeight="1">
      <x:c r="A56" s="63" t="str">
        <x:v>DEFASAGEM SALARIAL EM RELAÇÃO À REFERÊNCIA</x:v>
      </x:c>
      <x:c r="B56" s="63"/>
      <x:c r="C56" s="63"/>
      <x:c r="D56" s="63"/>
      <x:c r="E56" s="63"/>
      <x:c r="F56" s="63"/>
      <x:c r="G56" s="63"/>
      <x:c r="H56" s="63"/>
      <x:c r="I56" s="63"/>
      <x:c r="J56" s="63"/>
      <x:c r="K56" s="63"/>
      <x:c r="L56" s="63"/>
      <x:c r="M56" s="63"/>
      <x:c r="N56" s="63"/>
      <x:c r="O56" s="64" t="n">
        <x:f>D28/D19-1</x:f>
        <x:v>0.049999082753939605</x:v>
      </x:c>
      <x:c r="P56" s="63"/>
      <x:c r="Q56" s="63"/>
      <x:c r="R56" s="63"/>
    </x:row>
    <x:row r="57" ht="24" customHeight="1">
      <x:c r="A57" s="63"/>
      <x:c r="B57" s="63"/>
      <x:c r="C57" s="63"/>
      <x:c r="D57" s="63"/>
      <x:c r="E57" s="63"/>
      <x:c r="F57" s="63"/>
      <x:c r="G57" s="63"/>
      <x:c r="H57" s="63"/>
      <x:c r="I57" s="63"/>
      <x:c r="J57" s="63"/>
      <x:c r="K57" s="63"/>
      <x:c r="L57" s="63"/>
      <x:c r="M57" s="63"/>
      <x:c r="N57" s="63"/>
      <x:c r="O57" s="63"/>
      <x:c r="P57" s="63"/>
      <x:c r="Q57" s="63"/>
      <x:c r="R57" s="63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</x:row>
    <x:row r="61" ht="30" customHeight="1">
      <x:c r="A61" s="12" t="str">
        <x:v>Continuação das classes/referências: XVI a XXX. Nenhuma classe foi descartada.</x:v>
      </x:c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</x:row>
    <x:row r="63" ht="28" customHeight="1">
      <x:c r="A63" s="14" t="str">
        <x:v>ESTRUTURA DE PROMOÇÃO / PROGRESSÃO</x:v>
      </x:c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</x:row>
    <x:row r="64" ht="24" customHeight="1">
      <x:c r="A64" s="16" t="str">
        <x:v>AUXILIAR ADMINISTRATIVO OPERACIONAL — 40 HORAS</x:v>
      </x:c>
      <x:c r="B64" s="16"/>
      <x:c r="C64" s="16"/>
      <x:c r="D64" s="16"/>
      <x:c r="E64" s="16"/>
      <x:c r="F64" s="16"/>
      <x:c r="G64" s="16"/>
      <x:c r="H64" s="16"/>
      <x:c r="I64" s="16"/>
      <x:c r="J64" s="16"/>
      <x:c r="K64" s="16"/>
      <x:c r="L64" s="16"/>
      <x:c r="M64" s="16"/>
      <x:c r="N64" s="16"/>
      <x:c r="O64" s="16"/>
      <x:c r="P64" s="16"/>
      <x:c r="Q64" s="16"/>
      <x:c r="R64" s="16"/>
    </x:row>
    <x:row r="65" ht="28" customHeight="1">
      <x:c r="A65" s="19" t="str">
        <x:v>Classes →</x:v>
      </x:c>
      <x:c r="B65" s="19" t="str">
        <x:v>Nível</x:v>
      </x:c>
      <x:c r="C65" s="19" t="str">
        <x:v>Regra vertical</x:v>
      </x:c>
      <x:c r="D65" s="19" t="str">
        <x:v>XVI</x:v>
      </x:c>
      <x:c r="E65" s="19" t="str">
        <x:v>XVII</x:v>
      </x:c>
      <x:c r="F65" s="19" t="str">
        <x:v>XVIII</x:v>
      </x:c>
      <x:c r="G65" s="19" t="str">
        <x:v>XIX</x:v>
      </x:c>
      <x:c r="H65" s="19" t="str">
        <x:v>XX</x:v>
      </x:c>
      <x:c r="I65" s="19" t="str">
        <x:v>XXI</x:v>
      </x:c>
      <x:c r="J65" s="19" t="str">
        <x:v>XXII</x:v>
      </x:c>
      <x:c r="K65" s="19" t="str">
        <x:v>XXIII</x:v>
      </x:c>
      <x:c r="L65" s="19" t="str">
        <x:v>XXIV</x:v>
      </x:c>
      <x:c r="M65" s="19" t="str">
        <x:v>XXV</x:v>
      </x:c>
      <x:c r="N65" s="19" t="str">
        <x:v>XXVI</x:v>
      </x:c>
      <x:c r="O65" s="19" t="str">
        <x:v>XXVII</x:v>
      </x:c>
      <x:c r="P65" s="19" t="str">
        <x:v>XXVIII</x:v>
      </x:c>
      <x:c r="Q65" s="19" t="str">
        <x:v>XXIX</x:v>
      </x:c>
      <x:c r="R65" s="19" t="str">
        <x:v>XXX</x:v>
      </x:c>
    </x:row>
    <x:row r="66" ht="26" customHeight="1">
      <x:c r="A66" s="2" t="str">
        <x:v>Níveis ↓</x:v>
      </x:c>
      <x:c r="B66" s="2" t="str">
        <x:v>I</x:v>
      </x:c>
      <x:c r="C66" s="2" t="str">
        <x:v>Base</x:v>
      </x:c>
      <x:c r="D66" s="6" t="n">
        <x:f>'Parâmetros'!C41/100</x:f>
        <x:v>0.027999999999999997</x:v>
      </x:c>
      <x:c r="E66" s="6" t="n">
        <x:f>'Parâmetros'!C42/100</x:f>
        <x:v>0.027999999999999997</x:v>
      </x:c>
      <x:c r="F66" s="6" t="n">
        <x:f>'Parâmetros'!C43/100</x:f>
        <x:v>0.027999999999999997</x:v>
      </x:c>
      <x:c r="G66" s="6" t="n">
        <x:f>'Parâmetros'!C44/100</x:f>
        <x:v>0.027999999999999997</x:v>
      </x:c>
      <x:c r="H66" s="6" t="n">
        <x:f>'Parâmetros'!C45/100</x:f>
        <x:v>0.027999999999999997</x:v>
      </x:c>
      <x:c r="I66" s="6" t="n">
        <x:f>'Parâmetros'!C46/100</x:f>
        <x:v>0.027999999999999997</x:v>
      </x:c>
      <x:c r="J66" s="6" t="n">
        <x:f>'Parâmetros'!C47/100</x:f>
        <x:v>0.027999999999999997</x:v>
      </x:c>
      <x:c r="K66" s="6" t="n">
        <x:f>'Parâmetros'!C48/100</x:f>
        <x:v>0.027999999999999997</x:v>
      </x:c>
      <x:c r="L66" s="6" t="n">
        <x:f>'Parâmetros'!C49/100</x:f>
        <x:v>0.027999999999999997</x:v>
      </x:c>
      <x:c r="M66" s="6" t="n">
        <x:f>'Parâmetros'!C50/100</x:f>
        <x:v>0.027999999999999997</x:v>
      </x:c>
      <x:c r="N66" s="6" t="n">
        <x:f>'Parâmetros'!C51/100</x:f>
        <x:v>0.027999999999999997</x:v>
      </x:c>
      <x:c r="O66" s="6" t="n">
        <x:f>'Parâmetros'!C52/100</x:f>
        <x:v>0.027999999999999997</x:v>
      </x:c>
      <x:c r="P66" s="6" t="n">
        <x:f>'Parâmetros'!C53/100</x:f>
        <x:v>0.027999999999999997</x:v>
      </x:c>
      <x:c r="Q66" s="6" t="n">
        <x:f>'Parâmetros'!C54/100</x:f>
        <x:v>0.027999999999999997</x:v>
      </x:c>
      <x:c r="R66" s="6" t="n">
        <x:f>'Parâmetros'!C55/100</x:f>
        <x:v>0.027999999999999997</x:v>
      </x:c>
    </x:row>
    <x:row r="67" ht="26" customHeight="1">
      <x:c r="A67" s="2"/>
      <x:c r="B67" s="17" t="str">
        <x:v>II</x:v>
      </x:c>
      <x:c r="C67" s="20" t="str">
        <x:f> "+"&amp;TEXT('Parâmetros'!D20,"0.00")&amp;IF('Parâmetros'!C20="valor_fixo"," R$ / ","% / ")&amp;'Parâmetros'!E20</x:f>
        <x:v>+15.00% / I</x:v>
      </x:c>
      <x:c r="D67" s="22" t="n">
        <x:f>'Parâmetros'!C41/100</x:f>
        <x:v>0.027999999999999997</x:v>
      </x:c>
      <x:c r="E67" s="22" t="n">
        <x:f>'Parâmetros'!C42/100</x:f>
        <x:v>0.027999999999999997</x:v>
      </x:c>
      <x:c r="F67" s="22" t="n">
        <x:f>'Parâmetros'!C43/100</x:f>
        <x:v>0.027999999999999997</x:v>
      </x:c>
      <x:c r="G67" s="22" t="n">
        <x:f>'Parâmetros'!C44/100</x:f>
        <x:v>0.027999999999999997</x:v>
      </x:c>
      <x:c r="H67" s="22" t="n">
        <x:f>'Parâmetros'!C45/100</x:f>
        <x:v>0.027999999999999997</x:v>
      </x:c>
      <x:c r="I67" s="22" t="n">
        <x:f>'Parâmetros'!C46/100</x:f>
        <x:v>0.027999999999999997</x:v>
      </x:c>
      <x:c r="J67" s="22" t="n">
        <x:f>'Parâmetros'!C47/100</x:f>
        <x:v>0.027999999999999997</x:v>
      </x:c>
      <x:c r="K67" s="22" t="n">
        <x:f>'Parâmetros'!C48/100</x:f>
        <x:v>0.027999999999999997</x:v>
      </x:c>
      <x:c r="L67" s="22" t="n">
        <x:f>'Parâmetros'!C49/100</x:f>
        <x:v>0.027999999999999997</x:v>
      </x:c>
      <x:c r="M67" s="22" t="n">
        <x:f>'Parâmetros'!C50/100</x:f>
        <x:v>0.027999999999999997</x:v>
      </x:c>
      <x:c r="N67" s="22" t="n">
        <x:f>'Parâmetros'!C51/100</x:f>
        <x:v>0.027999999999999997</x:v>
      </x:c>
      <x:c r="O67" s="22" t="n">
        <x:f>'Parâmetros'!C52/100</x:f>
        <x:v>0.027999999999999997</x:v>
      </x:c>
      <x:c r="P67" s="22" t="n">
        <x:f>'Parâmetros'!C53/100</x:f>
        <x:v>0.027999999999999997</x:v>
      </x:c>
      <x:c r="Q67" s="22" t="n">
        <x:f>'Parâmetros'!C54/100</x:f>
        <x:v>0.027999999999999997</x:v>
      </x:c>
      <x:c r="R67" s="22" t="n">
        <x:f>'Parâmetros'!C55/100</x:f>
        <x:v>0.027999999999999997</x:v>
      </x:c>
    </x:row>
    <x:row r="68" ht="26" customHeight="1">
      <x:c r="A68" s="2"/>
      <x:c r="B68" s="2" t="str">
        <x:v>III</x:v>
      </x:c>
      <x:c r="C68" s="7" t="str">
        <x:f> "+"&amp;TEXT('Parâmetros'!D21,"0.00")&amp;IF('Parâmetros'!C21="valor_fixo"," R$ / ","% / ")&amp;'Parâmetros'!E21</x:f>
        <x:v>+15.00% / II</x:v>
      </x:c>
      <x:c r="D68" s="6" t="n">
        <x:f>'Parâmetros'!C41/100</x:f>
        <x:v>0.027999999999999997</x:v>
      </x:c>
      <x:c r="E68" s="6" t="n">
        <x:f>'Parâmetros'!C42/100</x:f>
        <x:v>0.027999999999999997</x:v>
      </x:c>
      <x:c r="F68" s="6" t="n">
        <x:f>'Parâmetros'!C43/100</x:f>
        <x:v>0.027999999999999997</x:v>
      </x:c>
      <x:c r="G68" s="6" t="n">
        <x:f>'Parâmetros'!C44/100</x:f>
        <x:v>0.027999999999999997</x:v>
      </x:c>
      <x:c r="H68" s="6" t="n">
        <x:f>'Parâmetros'!C45/100</x:f>
        <x:v>0.027999999999999997</x:v>
      </x:c>
      <x:c r="I68" s="6" t="n">
        <x:f>'Parâmetros'!C46/100</x:f>
        <x:v>0.027999999999999997</x:v>
      </x:c>
      <x:c r="J68" s="6" t="n">
        <x:f>'Parâmetros'!C47/100</x:f>
        <x:v>0.027999999999999997</x:v>
      </x:c>
      <x:c r="K68" s="6" t="n">
        <x:f>'Parâmetros'!C48/100</x:f>
        <x:v>0.027999999999999997</x:v>
      </x:c>
      <x:c r="L68" s="6" t="n">
        <x:f>'Parâmetros'!C49/100</x:f>
        <x:v>0.027999999999999997</x:v>
      </x:c>
      <x:c r="M68" s="6" t="n">
        <x:f>'Parâmetros'!C50/100</x:f>
        <x:v>0.027999999999999997</x:v>
      </x:c>
      <x:c r="N68" s="6" t="n">
        <x:f>'Parâmetros'!C51/100</x:f>
        <x:v>0.027999999999999997</x:v>
      </x:c>
      <x:c r="O68" s="6" t="n">
        <x:f>'Parâmetros'!C52/100</x:f>
        <x:v>0.027999999999999997</x:v>
      </x:c>
      <x:c r="P68" s="6" t="n">
        <x:f>'Parâmetros'!C53/100</x:f>
        <x:v>0.027999999999999997</x:v>
      </x:c>
      <x:c r="Q68" s="6" t="n">
        <x:f>'Parâmetros'!C54/100</x:f>
        <x:v>0.027999999999999997</x:v>
      </x:c>
      <x:c r="R68" s="6" t="n">
        <x:f>'Parâmetros'!C55/100</x:f>
        <x:v>0.027999999999999997</x:v>
      </x:c>
    </x:row>
    <x:row r="69" ht="26" customHeight="1">
      <x:c r="A69" s="23"/>
      <x:c r="B69" s="24" t="str">
        <x:v>IV</x:v>
      </x:c>
      <x:c r="C69" s="25" t="str">
        <x:f> "+"&amp;TEXT('Parâmetros'!D22,"0.00")&amp;IF('Parâmetros'!C22="valor_fixo"," R$ / ","% / ")&amp;'Parâmetros'!E22</x:f>
        <x:v>+15.00% / III</x:v>
      </x:c>
      <x:c r="D69" s="27" t="n">
        <x:f>'Parâmetros'!C41/100</x:f>
        <x:v>0.027999999999999997</x:v>
      </x:c>
      <x:c r="E69" s="27" t="n">
        <x:f>'Parâmetros'!C42/100</x:f>
        <x:v>0.027999999999999997</x:v>
      </x:c>
      <x:c r="F69" s="27" t="n">
        <x:f>'Parâmetros'!C43/100</x:f>
        <x:v>0.027999999999999997</x:v>
      </x:c>
      <x:c r="G69" s="27" t="n">
        <x:f>'Parâmetros'!C44/100</x:f>
        <x:v>0.027999999999999997</x:v>
      </x:c>
      <x:c r="H69" s="27" t="n">
        <x:f>'Parâmetros'!C45/100</x:f>
        <x:v>0.027999999999999997</x:v>
      </x:c>
      <x:c r="I69" s="27" t="n">
        <x:f>'Parâmetros'!C46/100</x:f>
        <x:v>0.027999999999999997</x:v>
      </x:c>
      <x:c r="J69" s="27" t="n">
        <x:f>'Parâmetros'!C47/100</x:f>
        <x:v>0.027999999999999997</x:v>
      </x:c>
      <x:c r="K69" s="27" t="n">
        <x:f>'Parâmetros'!C48/100</x:f>
        <x:v>0.027999999999999997</x:v>
      </x:c>
      <x:c r="L69" s="27" t="n">
        <x:f>'Parâmetros'!C49/100</x:f>
        <x:v>0.027999999999999997</x:v>
      </x:c>
      <x:c r="M69" s="27" t="n">
        <x:f>'Parâmetros'!C50/100</x:f>
        <x:v>0.027999999999999997</x:v>
      </x:c>
      <x:c r="N69" s="27" t="n">
        <x:f>'Parâmetros'!C51/100</x:f>
        <x:v>0.027999999999999997</x:v>
      </x:c>
      <x:c r="O69" s="27" t="n">
        <x:f>'Parâmetros'!C52/100</x:f>
        <x:v>0.027999999999999997</x:v>
      </x:c>
      <x:c r="P69" s="27" t="n">
        <x:f>'Parâmetros'!C53/100</x:f>
        <x:v>0.027999999999999997</x:v>
      </x:c>
      <x:c r="Q69" s="27" t="n">
        <x:f>'Parâmetros'!C54/100</x:f>
        <x:v>0.027999999999999997</x:v>
      </x:c>
      <x:c r="R69" s="27" t="n">
        <x:f>'Parâmetros'!C55/100</x:f>
        <x:v>0.027999999999999997</x:v>
      </x:c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</x:row>
    <x:row r="72" ht="28" customHeight="1">
      <x:c r="A72" s="14" t="str">
        <x:v>• TABELA DE VENCIMENTOS 2026 •</x:v>
      </x:c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</x:row>
    <x:row r="73" ht="24" customHeight="1">
      <x:c r="A73" s="16" t="str">
        <x:v>AUXILIAR ADMINISTRATIVO OPERACIONAL — 40 HORAS</x:v>
      </x:c>
      <x:c r="B73" s="16"/>
      <x:c r="C73" s="16"/>
      <x:c r="D73" s="16"/>
      <x:c r="E73" s="16"/>
      <x:c r="F73" s="16"/>
      <x:c r="G73" s="16"/>
      <x:c r="H73" s="16"/>
      <x:c r="I73" s="16"/>
      <x:c r="J73" s="16"/>
      <x:c r="K73" s="16"/>
      <x:c r="L73" s="16"/>
      <x:c r="M73" s="16"/>
      <x:c r="N73" s="16"/>
      <x:c r="O73" s="16"/>
      <x:c r="P73" s="16"/>
      <x:c r="Q73" s="16"/>
      <x:c r="R73" s="16"/>
    </x:row>
    <x:row r="74" ht="28" customHeight="1">
      <x:c r="A74" s="19" t="str">
        <x:v>Classes →</x:v>
      </x:c>
      <x:c r="B74" s="19" t="str">
        <x:v>Nível</x:v>
      </x:c>
      <x:c r="C74" s="19" t="str">
        <x:v>Regra vertical</x:v>
      </x:c>
      <x:c r="D74" s="19" t="str">
        <x:v>XVI</x:v>
      </x:c>
      <x:c r="E74" s="19" t="str">
        <x:v>XVII</x:v>
      </x:c>
      <x:c r="F74" s="19" t="str">
        <x:v>XVIII</x:v>
      </x:c>
      <x:c r="G74" s="19" t="str">
        <x:v>XIX</x:v>
      </x:c>
      <x:c r="H74" s="19" t="str">
        <x:v>XX</x:v>
      </x:c>
      <x:c r="I74" s="19" t="str">
        <x:v>XXI</x:v>
      </x:c>
      <x:c r="J74" s="19" t="str">
        <x:v>XXII</x:v>
      </x:c>
      <x:c r="K74" s="19" t="str">
        <x:v>XXIII</x:v>
      </x:c>
      <x:c r="L74" s="19" t="str">
        <x:v>XXIV</x:v>
      </x:c>
      <x:c r="M74" s="19" t="str">
        <x:v>XXV</x:v>
      </x:c>
      <x:c r="N74" s="19" t="str">
        <x:v>XXVI</x:v>
      </x:c>
      <x:c r="O74" s="19" t="str">
        <x:v>XXVII</x:v>
      </x:c>
      <x:c r="P74" s="19" t="str">
        <x:v>XXVIII</x:v>
      </x:c>
      <x:c r="Q74" s="19" t="str">
        <x:v>XXIX</x:v>
      </x:c>
      <x:c r="R74" s="19" t="str">
        <x:v>XXX</x:v>
      </x:c>
    </x:row>
    <x:row r="75" ht="26" customHeight="1">
      <x:c r="A75" s="2" t="str">
        <x:v>Níveis ↓</x:v>
      </x:c>
      <x:c r="B75" s="2" t="str">
        <x:v>I</x:v>
      </x:c>
      <x:c r="C75" s="2" t="str">
        <x:v>Base</x:v>
      </x:c>
      <x:c r="D75" s="4" t="n">
        <x:f>'Dados originais'!S4</x:f>
        <x:v>3299.45</x:v>
      </x:c>
      <x:c r="E75" s="4" t="n">
        <x:f>'Dados originais'!T4</x:f>
        <x:v>3391.83</x:v>
      </x:c>
      <x:c r="F75" s="4" t="n">
        <x:f>'Dados originais'!U4</x:f>
        <x:v>3486.8</x:v>
      </x:c>
      <x:c r="G75" s="4" t="n">
        <x:f>'Dados originais'!V4</x:f>
        <x:v>3584.43</x:v>
      </x:c>
      <x:c r="H75" s="4" t="n">
        <x:f>'Dados originais'!W4</x:f>
        <x:v>3684.8</x:v>
      </x:c>
      <x:c r="I75" s="4" t="n">
        <x:f>'Dados originais'!X4</x:f>
        <x:v>3787.97</x:v>
      </x:c>
      <x:c r="J75" s="4" t="n">
        <x:f>'Dados originais'!Y4</x:f>
        <x:v>3894.03</x:v>
      </x:c>
      <x:c r="K75" s="4" t="n">
        <x:f>'Dados originais'!Z4</x:f>
        <x:v>4003.07</x:v>
      </x:c>
      <x:c r="L75" s="4" t="n">
        <x:f>'Dados originais'!AA4</x:f>
        <x:v>4115.15</x:v>
      </x:c>
      <x:c r="M75" s="4" t="n">
        <x:f>'Dados originais'!AB4</x:f>
        <x:v>4230.38</x:v>
      </x:c>
      <x:c r="N75" s="4" t="n">
        <x:f>'Dados originais'!AC4</x:f>
        <x:v>4348.83</x:v>
      </x:c>
      <x:c r="O75" s="4" t="n">
        <x:f>'Dados originais'!AD4</x:f>
        <x:v>4470.59</x:v>
      </x:c>
      <x:c r="P75" s="4" t="n">
        <x:f>'Dados originais'!AE4</x:f>
        <x:v>4595.77</x:v>
      </x:c>
      <x:c r="Q75" s="4" t="n">
        <x:f>'Dados originais'!AF4</x:f>
        <x:v>4724.45</x:v>
      </x:c>
      <x:c r="R75" s="4" t="n">
        <x:f>'Dados originais'!AG4</x:f>
        <x:v>4856.74</x:v>
      </x:c>
    </x:row>
    <x:row r="76" ht="26" customHeight="1">
      <x:c r="A76" s="2"/>
      <x:c r="B76" s="17" t="str">
        <x:v>II</x:v>
      </x:c>
      <x:c r="C76" s="20" t="str">
        <x:f> "+"&amp;TEXT('Parâmetros'!D20,"0.00")&amp;IF('Parâmetros'!C20="valor_fixo"," R$ / ","% / ")&amp;'Parâmetros'!E20</x:f>
        <x:v>+15.00% / I</x:v>
      </x:c>
      <x:c r="D76" s="28" t="n">
        <x:f>'Dados originais'!S5</x:f>
        <x:v>3794.36</x:v>
      </x:c>
      <x:c r="E76" s="28" t="n">
        <x:f>'Dados originais'!T5</x:f>
        <x:v>3900.6</x:v>
      </x:c>
      <x:c r="F76" s="28" t="n">
        <x:f>'Dados originais'!U5</x:f>
        <x:v>4009.82</x:v>
      </x:c>
      <x:c r="G76" s="28" t="n">
        <x:f>'Dados originais'!V5</x:f>
        <x:v>4122.1</x:v>
      </x:c>
      <x:c r="H76" s="28" t="n">
        <x:f>'Dados originais'!W5</x:f>
        <x:v>4237.52</x:v>
      </x:c>
      <x:c r="I76" s="28" t="n">
        <x:f>'Dados originais'!X5</x:f>
        <x:v>4356.17</x:v>
      </x:c>
      <x:c r="J76" s="28" t="n">
        <x:f>'Dados originais'!Y5</x:f>
        <x:v>4478.14</x:v>
      </x:c>
      <x:c r="K76" s="28" t="n">
        <x:f>'Dados originais'!Z5</x:f>
        <x:v>4603.53</x:v>
      </x:c>
      <x:c r="L76" s="28" t="n">
        <x:f>'Dados originais'!AA5</x:f>
        <x:v>4732.43</x:v>
      </x:c>
      <x:c r="M76" s="28" t="n">
        <x:f>'Dados originais'!AB5</x:f>
        <x:v>4864.93</x:v>
      </x:c>
      <x:c r="N76" s="28" t="n">
        <x:f>'Dados originais'!AC5</x:f>
        <x:v>5001.15</x:v>
      </x:c>
      <x:c r="O76" s="28" t="n">
        <x:f>'Dados originais'!AD5</x:f>
        <x:v>5141.18</x:v>
      </x:c>
      <x:c r="P76" s="28" t="n">
        <x:f>'Dados originais'!AE5</x:f>
        <x:v>5285.14</x:v>
      </x:c>
      <x:c r="Q76" s="28" t="n">
        <x:f>'Dados originais'!AF5</x:f>
        <x:v>5433.12</x:v>
      </x:c>
      <x:c r="R76" s="28" t="n">
        <x:f>'Dados originais'!AG5</x:f>
        <x:v>5585.25</x:v>
      </x:c>
    </x:row>
    <x:row r="77" ht="26" customHeight="1">
      <x:c r="A77" s="2"/>
      <x:c r="B77" s="2" t="str">
        <x:v>III</x:v>
      </x:c>
      <x:c r="C77" s="7" t="str">
        <x:f> "+"&amp;TEXT('Parâmetros'!D21,"0.00")&amp;IF('Parâmetros'!C21="valor_fixo"," R$ / ","% / ")&amp;'Parâmetros'!E21</x:f>
        <x:v>+15.00% / II</x:v>
      </x:c>
      <x:c r="D77" s="4" t="n">
        <x:f>'Dados originais'!S6</x:f>
        <x:v>4363.52</x:v>
      </x:c>
      <x:c r="E77" s="4" t="n">
        <x:f>'Dados originais'!T6</x:f>
        <x:v>4485.7</x:v>
      </x:c>
      <x:c r="F77" s="4" t="n">
        <x:f>'Dados originais'!U6</x:f>
        <x:v>4611.3</x:v>
      </x:c>
      <x:c r="G77" s="4" t="n">
        <x:f>'Dados originais'!V6</x:f>
        <x:v>4740.41</x:v>
      </x:c>
      <x:c r="H77" s="4" t="n">
        <x:f>'Dados originais'!W6</x:f>
        <x:v>4873.14</x:v>
      </x:c>
      <x:c r="I77" s="4" t="n">
        <x:f>'Dados originais'!X6</x:f>
        <x:v>5009.59</x:v>
      </x:c>
      <x:c r="J77" s="4" t="n">
        <x:f>'Dados originais'!Y6</x:f>
        <x:v>5149.86</x:v>
      </x:c>
      <x:c r="K77" s="4" t="n">
        <x:f>'Dados originais'!Z6</x:f>
        <x:v>5294.06</x:v>
      </x:c>
      <x:c r="L77" s="4" t="n">
        <x:f>'Dados originais'!AA6</x:f>
        <x:v>5442.29</x:v>
      </x:c>
      <x:c r="M77" s="4" t="n">
        <x:f>'Dados originais'!AB6</x:f>
        <x:v>5594.67</x:v>
      </x:c>
      <x:c r="N77" s="4" t="n">
        <x:f>'Dados originais'!AC6</x:f>
        <x:v>5751.32</x:v>
      </x:c>
      <x:c r="O77" s="4" t="n">
        <x:f>'Dados originais'!AD6</x:f>
        <x:v>5912.36</x:v>
      </x:c>
      <x:c r="P77" s="4" t="n">
        <x:f>'Dados originais'!AE6</x:f>
        <x:v>6077.91</x:v>
      </x:c>
      <x:c r="Q77" s="4" t="n">
        <x:f>'Dados originais'!AF6</x:f>
        <x:v>6248.09</x:v>
      </x:c>
      <x:c r="R77" s="4" t="n">
        <x:f>'Dados originais'!AG6</x:f>
        <x:v>6423.04</x:v>
      </x:c>
    </x:row>
    <x:row r="78" ht="26" customHeight="1">
      <x:c r="A78" s="23"/>
      <x:c r="B78" s="24" t="str">
        <x:v>IV</x:v>
      </x:c>
      <x:c r="C78" s="25" t="str">
        <x:f> "+"&amp;TEXT('Parâmetros'!D22,"0.00")&amp;IF('Parâmetros'!C22="valor_fixo"," R$ / ","% / ")&amp;'Parâmetros'!E22</x:f>
        <x:v>+15.00% / III</x:v>
      </x:c>
      <x:c r="D78" s="29" t="n">
        <x:f>'Dados originais'!S7</x:f>
        <x:v>5018.04</x:v>
      </x:c>
      <x:c r="E78" s="29" t="n">
        <x:f>'Dados originais'!T7</x:f>
        <x:v>5158.55</x:v>
      </x:c>
      <x:c r="F78" s="29" t="n">
        <x:f>'Dados originais'!U7</x:f>
        <x:v>5302.99</x:v>
      </x:c>
      <x:c r="G78" s="29" t="n">
        <x:f>'Dados originais'!V7</x:f>
        <x:v>5451.47</x:v>
      </x:c>
      <x:c r="H78" s="29" t="n">
        <x:f>'Dados originais'!W7</x:f>
        <x:v>5604.11</x:v>
      </x:c>
      <x:c r="I78" s="29" t="n">
        <x:f>'Dados originais'!X7</x:f>
        <x:v>5761.03</x:v>
      </x:c>
      <x:c r="J78" s="29" t="n">
        <x:f>'Dados originais'!Y7</x:f>
        <x:v>5922.34</x:v>
      </x:c>
      <x:c r="K78" s="29" t="n">
        <x:f>'Dados originais'!Z7</x:f>
        <x:v>6088.16</x:v>
      </x:c>
      <x:c r="L78" s="29" t="n">
        <x:f>'Dados originais'!AA7</x:f>
        <x:v>6258.63</x:v>
      </x:c>
      <x:c r="M78" s="29" t="n">
        <x:f>'Dados originais'!AB7</x:f>
        <x:v>6433.87</x:v>
      </x:c>
      <x:c r="N78" s="29" t="n">
        <x:f>'Dados originais'!AC7</x:f>
        <x:v>6614.02</x:v>
      </x:c>
      <x:c r="O78" s="29" t="n">
        <x:f>'Dados originais'!AD7</x:f>
        <x:v>6799.22</x:v>
      </x:c>
      <x:c r="P78" s="29" t="n">
        <x:f>'Dados originais'!AE7</x:f>
        <x:v>6989.59</x:v>
      </x:c>
      <x:c r="Q78" s="29" t="n">
        <x:f>'Dados originais'!AF7</x:f>
        <x:v>7185.3</x:v>
      </x:c>
      <x:c r="R78" s="29" t="n">
        <x:f>'Dados originais'!AG7</x:f>
        <x:v>7386.49</x:v>
      </x:c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</x:row>
    <x:row r="81" ht="28" customHeight="1">
      <x:c r="A81" s="32" t="str">
        <x:v>• TABELA DE VENCIMENTOS — REFERÊNCIA Cenário didático: base inicial +5% •</x:v>
      </x:c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</x:row>
    <x:row r="82" ht="24" customHeight="1">
      <x:c r="A82" s="34" t="str">
        <x:v>AUXILIAR ADMINISTRATIVO OPERACIONAL — 40 HORAS</x:v>
      </x:c>
      <x:c r="B82" s="34"/>
      <x:c r="C82" s="34"/>
      <x:c r="D82" s="34"/>
      <x:c r="E82" s="34"/>
      <x:c r="F82" s="34"/>
      <x:c r="G82" s="34"/>
      <x:c r="H82" s="34"/>
      <x:c r="I82" s="34"/>
      <x:c r="J82" s="34"/>
      <x:c r="K82" s="34"/>
      <x:c r="L82" s="34"/>
      <x:c r="M82" s="34"/>
      <x:c r="N82" s="34"/>
      <x:c r="O82" s="34"/>
      <x:c r="P82" s="34"/>
      <x:c r="Q82" s="34"/>
      <x:c r="R82" s="34"/>
    </x:row>
    <x:row r="83" ht="28" customHeight="1">
      <x:c r="A83" s="37" t="str">
        <x:v>Classes →</x:v>
      </x:c>
      <x:c r="B83" s="37" t="str">
        <x:v>Nível</x:v>
      </x:c>
      <x:c r="C83" s="37" t="str">
        <x:v>Regra vertical</x:v>
      </x:c>
      <x:c r="D83" s="37" t="str">
        <x:v>XVI</x:v>
      </x:c>
      <x:c r="E83" s="37" t="str">
        <x:v>XVII</x:v>
      </x:c>
      <x:c r="F83" s="37" t="str">
        <x:v>XVIII</x:v>
      </x:c>
      <x:c r="G83" s="37" t="str">
        <x:v>XIX</x:v>
      </x:c>
      <x:c r="H83" s="37" t="str">
        <x:v>XX</x:v>
      </x:c>
      <x:c r="I83" s="37" t="str">
        <x:v>XXI</x:v>
      </x:c>
      <x:c r="J83" s="37" t="str">
        <x:v>XXII</x:v>
      </x:c>
      <x:c r="K83" s="37" t="str">
        <x:v>XXIII</x:v>
      </x:c>
      <x:c r="L83" s="37" t="str">
        <x:v>XXIV</x:v>
      </x:c>
      <x:c r="M83" s="37" t="str">
        <x:v>XXV</x:v>
      </x:c>
      <x:c r="N83" s="37" t="str">
        <x:v>XXVI</x:v>
      </x:c>
      <x:c r="O83" s="37" t="str">
        <x:v>XXVII</x:v>
      </x:c>
      <x:c r="P83" s="37" t="str">
        <x:v>XXVIII</x:v>
      </x:c>
      <x:c r="Q83" s="37" t="str">
        <x:v>XXIX</x:v>
      </x:c>
      <x:c r="R83" s="37" t="str">
        <x:v>XXX</x:v>
      </x:c>
    </x:row>
    <x:row r="84" ht="26" customHeight="1">
      <x:c r="A84" s="2" t="str">
        <x:v>Níveis ↓</x:v>
      </x:c>
      <x:c r="B84" s="2" t="str">
        <x:v>I</x:v>
      </x:c>
      <x:c r="C84" s="2" t="str">
        <x:v>Base</x:v>
      </x:c>
      <x:c r="D84" s="4" t="n">
        <x:f>IF('Parâmetros'!$B$12="truncar",ROUNDDOWN(R28*(1+'Parâmetros'!C41/100),2),ROUND(R28*(1+'Parâmetros'!C41/100),2))</x:f>
        <x:v>3464.4</x:v>
      </x:c>
      <x:c r="E84" s="4" t="n">
        <x:f>IF('Parâmetros'!$B$12="truncar",ROUNDDOWN(D84*(1+'Parâmetros'!C42/100),2),ROUND(D84*(1+'Parâmetros'!C42/100),2))</x:f>
        <x:v>3561.4</x:v>
      </x:c>
      <x:c r="F84" s="4" t="n">
        <x:f>IF('Parâmetros'!$B$12="truncar",ROUNDDOWN(E84*(1+'Parâmetros'!C43/100),2),ROUND(E84*(1+'Parâmetros'!C43/100),2))</x:f>
        <x:v>3661.12</x:v>
      </x:c>
      <x:c r="G84" s="4" t="n">
        <x:f>IF('Parâmetros'!$B$12="truncar",ROUNDDOWN(F84*(1+'Parâmetros'!C44/100),2),ROUND(F84*(1+'Parâmetros'!C44/100),2))</x:f>
        <x:v>3763.63</x:v>
      </x:c>
      <x:c r="H84" s="4" t="n">
        <x:f>IF('Parâmetros'!$B$12="truncar",ROUNDDOWN(G84*(1+'Parâmetros'!C45/100),2),ROUND(G84*(1+'Parâmetros'!C45/100),2))</x:f>
        <x:v>3869.01</x:v>
      </x:c>
      <x:c r="I84" s="4" t="n">
        <x:f>IF('Parâmetros'!$B$12="truncar",ROUNDDOWN(H84*(1+'Parâmetros'!C46/100),2),ROUND(H84*(1+'Parâmetros'!C46/100),2))</x:f>
        <x:v>3977.34</x:v>
      </x:c>
      <x:c r="J84" s="4" t="n">
        <x:f>IF('Parâmetros'!$B$12="truncar",ROUNDDOWN(I84*(1+'Parâmetros'!C47/100),2),ROUND(I84*(1+'Parâmetros'!C47/100),2))</x:f>
        <x:v>4088.71</x:v>
      </x:c>
      <x:c r="K84" s="4" t="n">
        <x:f>IF('Parâmetros'!$B$12="truncar",ROUNDDOWN(J84*(1+'Parâmetros'!C48/100),2),ROUND(J84*(1+'Parâmetros'!C48/100),2))</x:f>
        <x:v>4203.19</x:v>
      </x:c>
      <x:c r="L84" s="4" t="n">
        <x:f>IF('Parâmetros'!$B$12="truncar",ROUNDDOWN(K84*(1+'Parâmetros'!C49/100),2),ROUND(K84*(1+'Parâmetros'!C49/100),2))</x:f>
        <x:v>4320.88</x:v>
      </x:c>
      <x:c r="M84" s="4" t="n">
        <x:f>IF('Parâmetros'!$B$12="truncar",ROUNDDOWN(L84*(1+'Parâmetros'!C50/100),2),ROUND(L84*(1+'Parâmetros'!C50/100),2))</x:f>
        <x:v>4441.86</x:v>
      </x:c>
      <x:c r="N84" s="4" t="n">
        <x:f>IF('Parâmetros'!$B$12="truncar",ROUNDDOWN(M84*(1+'Parâmetros'!C51/100),2),ROUND(M84*(1+'Parâmetros'!C51/100),2))</x:f>
        <x:v>4566.23</x:v>
      </x:c>
      <x:c r="O84" s="4" t="n">
        <x:f>IF('Parâmetros'!$B$12="truncar",ROUNDDOWN(N84*(1+'Parâmetros'!C52/100),2),ROUND(N84*(1+'Parâmetros'!C52/100),2))</x:f>
        <x:v>4694.08</x:v>
      </x:c>
      <x:c r="P84" s="4" t="n">
        <x:f>IF('Parâmetros'!$B$12="truncar",ROUNDDOWN(O84*(1+'Parâmetros'!C53/100),2),ROUND(O84*(1+'Parâmetros'!C53/100),2))</x:f>
        <x:v>4825.51</x:v>
      </x:c>
      <x:c r="Q84" s="4" t="n">
        <x:f>IF('Parâmetros'!$B$12="truncar",ROUNDDOWN(P84*(1+'Parâmetros'!C54/100),2),ROUND(P84*(1+'Parâmetros'!C54/100),2))</x:f>
        <x:v>4960.62</x:v>
      </x:c>
      <x:c r="R84" s="4" t="n">
        <x:f>IF('Parâmetros'!$B$12="truncar",ROUNDDOWN(Q84*(1+'Parâmetros'!C55/100),2),ROUND(Q84*(1+'Parâmetros'!C55/100),2))</x:f>
        <x:v>5099.52</x:v>
      </x:c>
    </x:row>
    <x:row r="85" ht="26" customHeight="1">
      <x:c r="A85" s="2"/>
      <x:c r="B85" s="35" t="str">
        <x:v>II</x:v>
      </x:c>
      <x:c r="C85" s="38" t="str">
        <x:f> "+"&amp;TEXT('Parâmetros'!D20,"0.00")&amp;IF('Parâmetros'!C20="valor_fixo"," R$ / ","% / ")&amp;'Parâmetros'!E20</x:f>
        <x:v>+15.00% / I</x:v>
      </x:c>
      <x:c r="D85" s="39" t="n">
        <x:f>IF('Parâmetros'!$B$12="truncar",ROUNDDOWN(R29*(1+'Parâmetros'!C41/100),2),ROUND(R29*(1+'Parâmetros'!C41/100),2))</x:f>
        <x:v>3984.1</x:v>
      </x:c>
      <x:c r="E85" s="39" t="n">
        <x:f>IF('Parâmetros'!$B$12="truncar",ROUNDDOWN(D85*(1+'Parâmetros'!C42/100),2),ROUND(D85*(1+'Parâmetros'!C42/100),2))</x:f>
        <x:v>4095.65</x:v>
      </x:c>
      <x:c r="F85" s="39" t="n">
        <x:f>IF('Parâmetros'!$B$12="truncar",ROUNDDOWN(E85*(1+'Parâmetros'!C43/100),2),ROUND(E85*(1+'Parâmetros'!C43/100),2))</x:f>
        <x:v>4210.33</x:v>
      </x:c>
      <x:c r="G85" s="39" t="n">
        <x:f>IF('Parâmetros'!$B$12="truncar",ROUNDDOWN(F85*(1+'Parâmetros'!C44/100),2),ROUND(F85*(1+'Parâmetros'!C44/100),2))</x:f>
        <x:v>4328.22</x:v>
      </x:c>
      <x:c r="H85" s="39" t="n">
        <x:f>IF('Parâmetros'!$B$12="truncar",ROUNDDOWN(G85*(1+'Parâmetros'!C45/100),2),ROUND(G85*(1+'Parâmetros'!C45/100),2))</x:f>
        <x:v>4449.41</x:v>
      </x:c>
      <x:c r="I85" s="39" t="n">
        <x:f>IF('Parâmetros'!$B$12="truncar",ROUNDDOWN(H85*(1+'Parâmetros'!C46/100),2),ROUND(H85*(1+'Parâmetros'!C46/100),2))</x:f>
        <x:v>4573.99</x:v>
      </x:c>
      <x:c r="J85" s="39" t="n">
        <x:f>IF('Parâmetros'!$B$12="truncar",ROUNDDOWN(I85*(1+'Parâmetros'!C47/100),2),ROUND(I85*(1+'Parâmetros'!C47/100),2))</x:f>
        <x:v>4702.06</x:v>
      </x:c>
      <x:c r="K85" s="39" t="n">
        <x:f>IF('Parâmetros'!$B$12="truncar",ROUNDDOWN(J85*(1+'Parâmetros'!C48/100),2),ROUND(J85*(1+'Parâmetros'!C48/100),2))</x:f>
        <x:v>4833.72</x:v>
      </x:c>
      <x:c r="L85" s="39" t="n">
        <x:f>IF('Parâmetros'!$B$12="truncar",ROUNDDOWN(K85*(1+'Parâmetros'!C49/100),2),ROUND(K85*(1+'Parâmetros'!C49/100),2))</x:f>
        <x:v>4969.06</x:v>
      </x:c>
      <x:c r="M85" s="39" t="n">
        <x:f>IF('Parâmetros'!$B$12="truncar",ROUNDDOWN(L85*(1+'Parâmetros'!C50/100),2),ROUND(L85*(1+'Parâmetros'!C50/100),2))</x:f>
        <x:v>5108.19</x:v>
      </x:c>
      <x:c r="N85" s="39" t="n">
        <x:f>IF('Parâmetros'!$B$12="truncar",ROUNDDOWN(M85*(1+'Parâmetros'!C51/100),2),ROUND(M85*(1+'Parâmetros'!C51/100),2))</x:f>
        <x:v>5251.22</x:v>
      </x:c>
      <x:c r="O85" s="39" t="n">
        <x:f>IF('Parâmetros'!$B$12="truncar",ROUNDDOWN(N85*(1+'Parâmetros'!C52/100),2),ROUND(N85*(1+'Parâmetros'!C52/100),2))</x:f>
        <x:v>5398.25</x:v>
      </x:c>
      <x:c r="P85" s="39" t="n">
        <x:f>IF('Parâmetros'!$B$12="truncar",ROUNDDOWN(O85*(1+'Parâmetros'!C53/100),2),ROUND(O85*(1+'Parâmetros'!C53/100),2))</x:f>
        <x:v>5549.4</x:v>
      </x:c>
      <x:c r="Q85" s="39" t="n">
        <x:f>IF('Parâmetros'!$B$12="truncar",ROUNDDOWN(P85*(1+'Parâmetros'!C54/100),2),ROUND(P85*(1+'Parâmetros'!C54/100),2))</x:f>
        <x:v>5704.78</x:v>
      </x:c>
      <x:c r="R85" s="39" t="n">
        <x:f>IF('Parâmetros'!$B$12="truncar",ROUNDDOWN(Q85*(1+'Parâmetros'!C55/100),2),ROUND(Q85*(1+'Parâmetros'!C55/100),2))</x:f>
        <x:v>5864.51</x:v>
      </x:c>
    </x:row>
    <x:row r="86" ht="26" customHeight="1">
      <x:c r="A86" s="2"/>
      <x:c r="B86" s="2" t="str">
        <x:v>III</x:v>
      </x:c>
      <x:c r="C86" s="7" t="str">
        <x:f> "+"&amp;TEXT('Parâmetros'!D21,"0.00")&amp;IF('Parâmetros'!C21="valor_fixo"," R$ / ","% / ")&amp;'Parâmetros'!E21</x:f>
        <x:v>+15.00% / II</x:v>
      </x:c>
      <x:c r="D86" s="4" t="n">
        <x:f>IF('Parâmetros'!$B$12="truncar",ROUNDDOWN(R30*(1+'Parâmetros'!C41/100),2),ROUND(R30*(1+'Parâmetros'!C41/100),2))</x:f>
        <x:v>4581.68</x:v>
      </x:c>
      <x:c r="E86" s="4" t="n">
        <x:f>IF('Parâmetros'!$B$12="truncar",ROUNDDOWN(D86*(1+'Parâmetros'!C42/100),2),ROUND(D86*(1+'Parâmetros'!C42/100),2))</x:f>
        <x:v>4709.97</x:v>
      </x:c>
      <x:c r="F86" s="4" t="n">
        <x:f>IF('Parâmetros'!$B$12="truncar",ROUNDDOWN(E86*(1+'Parâmetros'!C43/100),2),ROUND(E86*(1+'Parâmetros'!C43/100),2))</x:f>
        <x:v>4841.85</x:v>
      </x:c>
      <x:c r="G86" s="4" t="n">
        <x:f>IF('Parâmetros'!$B$12="truncar",ROUNDDOWN(F86*(1+'Parâmetros'!C44/100),2),ROUND(F86*(1+'Parâmetros'!C44/100),2))</x:f>
        <x:v>4977.42</x:v>
      </x:c>
      <x:c r="H86" s="4" t="n">
        <x:f>IF('Parâmetros'!$B$12="truncar",ROUNDDOWN(G86*(1+'Parâmetros'!C45/100),2),ROUND(G86*(1+'Parâmetros'!C45/100),2))</x:f>
        <x:v>5116.79</x:v>
      </x:c>
      <x:c r="I86" s="4" t="n">
        <x:f>IF('Parâmetros'!$B$12="truncar",ROUNDDOWN(H86*(1+'Parâmetros'!C46/100),2),ROUND(H86*(1+'Parâmetros'!C46/100),2))</x:f>
        <x:v>5260.06</x:v>
      </x:c>
      <x:c r="J86" s="4" t="n">
        <x:f>IF('Parâmetros'!$B$12="truncar",ROUNDDOWN(I86*(1+'Parâmetros'!C47/100),2),ROUND(I86*(1+'Parâmetros'!C47/100),2))</x:f>
        <x:v>5407.34</x:v>
      </x:c>
      <x:c r="K86" s="4" t="n">
        <x:f>IF('Parâmetros'!$B$12="truncar",ROUNDDOWN(J86*(1+'Parâmetros'!C48/100),2),ROUND(J86*(1+'Parâmetros'!C48/100),2))</x:f>
        <x:v>5558.75</x:v>
      </x:c>
      <x:c r="L86" s="4" t="n">
        <x:f>IF('Parâmetros'!$B$12="truncar",ROUNDDOWN(K86*(1+'Parâmetros'!C49/100),2),ROUND(K86*(1+'Parâmetros'!C49/100),2))</x:f>
        <x:v>5714.4</x:v>
      </x:c>
      <x:c r="M86" s="4" t="n">
        <x:f>IF('Parâmetros'!$B$12="truncar",ROUNDDOWN(L86*(1+'Parâmetros'!C50/100),2),ROUND(L86*(1+'Parâmetros'!C50/100),2))</x:f>
        <x:v>5874.4</x:v>
      </x:c>
      <x:c r="N86" s="4" t="n">
        <x:f>IF('Parâmetros'!$B$12="truncar",ROUNDDOWN(M86*(1+'Parâmetros'!C51/100),2),ROUND(M86*(1+'Parâmetros'!C51/100),2))</x:f>
        <x:v>6038.88</x:v>
      </x:c>
      <x:c r="O86" s="4" t="n">
        <x:f>IF('Parâmetros'!$B$12="truncar",ROUNDDOWN(N86*(1+'Parâmetros'!C52/100),2),ROUND(N86*(1+'Parâmetros'!C52/100),2))</x:f>
        <x:v>6207.97</x:v>
      </x:c>
      <x:c r="P86" s="4" t="n">
        <x:f>IF('Parâmetros'!$B$12="truncar",ROUNDDOWN(O86*(1+'Parâmetros'!C53/100),2),ROUND(O86*(1+'Parâmetros'!C53/100),2))</x:f>
        <x:v>6381.79</x:v>
      </x:c>
      <x:c r="Q86" s="4" t="n">
        <x:f>IF('Parâmetros'!$B$12="truncar",ROUNDDOWN(P86*(1+'Parâmetros'!C54/100),2),ROUND(P86*(1+'Parâmetros'!C54/100),2))</x:f>
        <x:v>6560.48</x:v>
      </x:c>
      <x:c r="R86" s="4" t="n">
        <x:f>IF('Parâmetros'!$B$12="truncar",ROUNDDOWN(Q86*(1+'Parâmetros'!C55/100),2),ROUND(Q86*(1+'Parâmetros'!C55/100),2))</x:f>
        <x:v>6744.17</x:v>
      </x:c>
    </x:row>
    <x:row r="87" ht="26" customHeight="1">
      <x:c r="A87" s="40"/>
      <x:c r="B87" s="41" t="str">
        <x:v>IV</x:v>
      </x:c>
      <x:c r="C87" s="42" t="str">
        <x:f> "+"&amp;TEXT('Parâmetros'!D22,"0.00")&amp;IF('Parâmetros'!C22="valor_fixo"," R$ / ","% / ")&amp;'Parâmetros'!E22</x:f>
        <x:v>+15.00% / III</x:v>
      </x:c>
      <x:c r="D87" s="43" t="n">
        <x:f>IF('Parâmetros'!$B$12="truncar",ROUNDDOWN(R31*(1+'Parâmetros'!C41/100),2),ROUND(R31*(1+'Parâmetros'!C41/100),2))</x:f>
        <x:v>5268.94</x:v>
      </x:c>
      <x:c r="E87" s="43" t="n">
        <x:f>IF('Parâmetros'!$B$12="truncar",ROUNDDOWN(D87*(1+'Parâmetros'!C42/100),2),ROUND(D87*(1+'Parâmetros'!C42/100),2))</x:f>
        <x:v>5416.47</x:v>
      </x:c>
      <x:c r="F87" s="43" t="n">
        <x:f>IF('Parâmetros'!$B$12="truncar",ROUNDDOWN(E87*(1+'Parâmetros'!C43/100),2),ROUND(E87*(1+'Parâmetros'!C43/100),2))</x:f>
        <x:v>5568.13</x:v>
      </x:c>
      <x:c r="G87" s="43" t="n">
        <x:f>IF('Parâmetros'!$B$12="truncar",ROUNDDOWN(F87*(1+'Parâmetros'!C44/100),2),ROUND(F87*(1+'Parâmetros'!C44/100),2))</x:f>
        <x:v>5724.04</x:v>
      </x:c>
      <x:c r="H87" s="43" t="n">
        <x:f>IF('Parâmetros'!$B$12="truncar",ROUNDDOWN(G87*(1+'Parâmetros'!C45/100),2),ROUND(G87*(1+'Parâmetros'!C45/100),2))</x:f>
        <x:v>5884.31</x:v>
      </x:c>
      <x:c r="I87" s="43" t="n">
        <x:f>IF('Parâmetros'!$B$12="truncar",ROUNDDOWN(H87*(1+'Parâmetros'!C46/100),2),ROUND(H87*(1+'Parâmetros'!C46/100),2))</x:f>
        <x:v>6049.07</x:v>
      </x:c>
      <x:c r="J87" s="43" t="n">
        <x:f>IF('Parâmetros'!$B$12="truncar",ROUNDDOWN(I87*(1+'Parâmetros'!C47/100),2),ROUND(I87*(1+'Parâmetros'!C47/100),2))</x:f>
        <x:v>6218.44</x:v>
      </x:c>
      <x:c r="K87" s="43" t="n">
        <x:f>IF('Parâmetros'!$B$12="truncar",ROUNDDOWN(J87*(1+'Parâmetros'!C48/100),2),ROUND(J87*(1+'Parâmetros'!C48/100),2))</x:f>
        <x:v>6392.56</x:v>
      </x:c>
      <x:c r="L87" s="43" t="n">
        <x:f>IF('Parâmetros'!$B$12="truncar",ROUNDDOWN(K87*(1+'Parâmetros'!C49/100),2),ROUND(K87*(1+'Parâmetros'!C49/100),2))</x:f>
        <x:v>6571.55</x:v>
      </x:c>
      <x:c r="M87" s="43" t="n">
        <x:f>IF('Parâmetros'!$B$12="truncar",ROUNDDOWN(L87*(1+'Parâmetros'!C50/100),2),ROUND(L87*(1+'Parâmetros'!C50/100),2))</x:f>
        <x:v>6755.55</x:v>
      </x:c>
      <x:c r="N87" s="43" t="n">
        <x:f>IF('Parâmetros'!$B$12="truncar",ROUNDDOWN(M87*(1+'Parâmetros'!C51/100),2),ROUND(M87*(1+'Parâmetros'!C51/100),2))</x:f>
        <x:v>6944.71</x:v>
      </x:c>
      <x:c r="O87" s="43" t="n">
        <x:f>IF('Parâmetros'!$B$12="truncar",ROUNDDOWN(N87*(1+'Parâmetros'!C52/100),2),ROUND(N87*(1+'Parâmetros'!C52/100),2))</x:f>
        <x:v>7139.16</x:v>
      </x:c>
      <x:c r="P87" s="43" t="n">
        <x:f>IF('Parâmetros'!$B$12="truncar",ROUNDDOWN(O87*(1+'Parâmetros'!C53/100),2),ROUND(O87*(1+'Parâmetros'!C53/100),2))</x:f>
        <x:v>7339.06</x:v>
      </x:c>
      <x:c r="Q87" s="43" t="n">
        <x:f>IF('Parâmetros'!$B$12="truncar",ROUNDDOWN(P87*(1+'Parâmetros'!C54/100),2),ROUND(P87*(1+'Parâmetros'!C54/100),2))</x:f>
        <x:v>7544.55</x:v>
      </x:c>
      <x:c r="R87" s="43" t="n">
        <x:f>IF('Parâmetros'!$B$12="truncar",ROUNDDOWN(Q87*(1+'Parâmetros'!C55/100),2),ROUND(Q87*(1+'Parâmetros'!C55/100),2))</x:f>
        <x:v>7755.8</x:v>
      </x:c>
    </x:row>
    <x:row r="88" ht="22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</x:row>
    <x:row r="89" ht="22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</x:row>
    <x:row r="90" ht="35" customHeight="1">
      <x:c r="A90" s="12" t="str">
        <x:f>"Neste bloco: "&amp;SUMPRODUCT(--(D75:R78&lt;D84:R87))&amp;" vencimentos abaixo da referência de carreira; "&amp;COUNTIF(D75:R78,"&lt;"&amp;$D$4)&amp;" abaixo da base inicial (em vermelho)."</x:f>
        <x:v>Neste bloco: 60 vencimentos abaixo da referência de carreira; 0 abaixo da base inicial (em vermelho).</x:v>
      </x:c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</x:row>
    <x:row r="91" ht="22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</x:row>
    <x:row r="92" ht="28" customHeight="1">
      <x:c r="A92" s="14" t="str">
        <x:v>NÃO CONFORMIDADES EM RELAÇÃO À REFERÊNCIA</x:v>
      </x:c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</x:row>
    <x:row r="93" ht="24" customHeight="1">
      <x:c r="A93" s="16" t="str">
        <x:v>AUXILIAR ADMINISTRATIVO OPERACIONAL — 40 HORAS</x:v>
      </x:c>
      <x:c r="B93" s="16"/>
      <x:c r="C93" s="16"/>
      <x:c r="D93" s="16"/>
      <x:c r="E93" s="16"/>
      <x:c r="F93" s="16"/>
      <x:c r="G93" s="16"/>
      <x:c r="H93" s="16"/>
      <x:c r="I93" s="16"/>
      <x:c r="J93" s="16"/>
      <x:c r="K93" s="16"/>
      <x:c r="L93" s="16"/>
      <x:c r="M93" s="16"/>
      <x:c r="N93" s="16"/>
      <x:c r="O93" s="16"/>
      <x:c r="P93" s="16"/>
      <x:c r="Q93" s="16"/>
      <x:c r="R93" s="16"/>
    </x:row>
    <x:row r="94" ht="28" customHeight="1">
      <x:c r="A94" s="19" t="str">
        <x:v>Classes →</x:v>
      </x:c>
      <x:c r="B94" s="19" t="str">
        <x:v>Nível</x:v>
      </x:c>
      <x:c r="C94" s="19" t="str">
        <x:v>Regra vertical</x:v>
      </x:c>
      <x:c r="D94" s="19" t="str">
        <x:v>XVI</x:v>
      </x:c>
      <x:c r="E94" s="19" t="str">
        <x:v>XVII</x:v>
      </x:c>
      <x:c r="F94" s="19" t="str">
        <x:v>XVIII</x:v>
      </x:c>
      <x:c r="G94" s="19" t="str">
        <x:v>XIX</x:v>
      </x:c>
      <x:c r="H94" s="19" t="str">
        <x:v>XX</x:v>
      </x:c>
      <x:c r="I94" s="19" t="str">
        <x:v>XXI</x:v>
      </x:c>
      <x:c r="J94" s="19" t="str">
        <x:v>XXII</x:v>
      </x:c>
      <x:c r="K94" s="19" t="str">
        <x:v>XXIII</x:v>
      </x:c>
      <x:c r="L94" s="19" t="str">
        <x:v>XXIV</x:v>
      </x:c>
      <x:c r="M94" s="19" t="str">
        <x:v>XXV</x:v>
      </x:c>
      <x:c r="N94" s="19" t="str">
        <x:v>XXVI</x:v>
      </x:c>
      <x:c r="O94" s="19" t="str">
        <x:v>XXVII</x:v>
      </x:c>
      <x:c r="P94" s="19" t="str">
        <x:v>XXVIII</x:v>
      </x:c>
      <x:c r="Q94" s="19" t="str">
        <x:v>XXIX</x:v>
      </x:c>
      <x:c r="R94" s="19" t="str">
        <x:v>XXX</x:v>
      </x:c>
    </x:row>
    <x:row r="95" ht="26" customHeight="1">
      <x:c r="A95" s="2" t="str">
        <x:v>Níveis ↓</x:v>
      </x:c>
      <x:c r="B95" s="2" t="str">
        <x:v>I</x:v>
      </x:c>
      <x:c r="C95" s="2" t="str">
        <x:v>Base</x:v>
      </x:c>
      <x:c r="D95" s="4" t="n">
        <x:f>'Dados originais'!S4</x:f>
        <x:v>3299.45</x:v>
      </x:c>
      <x:c r="E95" s="4" t="n">
        <x:f>'Dados originais'!T4</x:f>
        <x:v>3391.83</x:v>
      </x:c>
      <x:c r="F95" s="4" t="n">
        <x:f>'Dados originais'!U4</x:f>
        <x:v>3486.8</x:v>
      </x:c>
      <x:c r="G95" s="4" t="n">
        <x:f>'Dados originais'!V4</x:f>
        <x:v>3584.43</x:v>
      </x:c>
      <x:c r="H95" s="4" t="n">
        <x:f>'Dados originais'!W4</x:f>
        <x:v>3684.8</x:v>
      </x:c>
      <x:c r="I95" s="4" t="n">
        <x:f>'Dados originais'!X4</x:f>
        <x:v>3787.97</x:v>
      </x:c>
      <x:c r="J95" s="4" t="n">
        <x:f>'Dados originais'!Y4</x:f>
        <x:v>3894.03</x:v>
      </x:c>
      <x:c r="K95" s="4" t="n">
        <x:f>'Dados originais'!Z4</x:f>
        <x:v>4003.07</x:v>
      </x:c>
      <x:c r="L95" s="4" t="n">
        <x:f>'Dados originais'!AA4</x:f>
        <x:v>4115.15</x:v>
      </x:c>
      <x:c r="M95" s="4" t="n">
        <x:f>'Dados originais'!AB4</x:f>
        <x:v>4230.38</x:v>
      </x:c>
      <x:c r="N95" s="4" t="n">
        <x:f>'Dados originais'!AC4</x:f>
        <x:v>4348.83</x:v>
      </x:c>
      <x:c r="O95" s="4" t="n">
        <x:f>'Dados originais'!AD4</x:f>
        <x:v>4470.59</x:v>
      </x:c>
      <x:c r="P95" s="4" t="n">
        <x:f>'Dados originais'!AE4</x:f>
        <x:v>4595.77</x:v>
      </x:c>
      <x:c r="Q95" s="4" t="n">
        <x:f>'Dados originais'!AF4</x:f>
        <x:v>4724.45</x:v>
      </x:c>
      <x:c r="R95" s="4" t="n">
        <x:f>'Dados originais'!AG4</x:f>
        <x:v>4856.74</x:v>
      </x:c>
    </x:row>
    <x:row r="96" ht="26" customHeight="1">
      <x:c r="A96" s="2"/>
      <x:c r="B96" s="17" t="str">
        <x:v>II</x:v>
      </x:c>
      <x:c r="C96" s="20" t="str">
        <x:f> "+"&amp;TEXT('Parâmetros'!D20,"0.00")&amp;IF('Parâmetros'!C20="valor_fixo"," R$ / ","% / ")&amp;'Parâmetros'!E20</x:f>
        <x:v>+15.00% / I</x:v>
      </x:c>
      <x:c r="D96" s="28" t="n">
        <x:f>'Dados originais'!S5</x:f>
        <x:v>3794.36</x:v>
      </x:c>
      <x:c r="E96" s="28" t="n">
        <x:f>'Dados originais'!T5</x:f>
        <x:v>3900.6</x:v>
      </x:c>
      <x:c r="F96" s="28" t="n">
        <x:f>'Dados originais'!U5</x:f>
        <x:v>4009.82</x:v>
      </x:c>
      <x:c r="G96" s="28" t="n">
        <x:f>'Dados originais'!V5</x:f>
        <x:v>4122.1</x:v>
      </x:c>
      <x:c r="H96" s="28" t="n">
        <x:f>'Dados originais'!W5</x:f>
        <x:v>4237.52</x:v>
      </x:c>
      <x:c r="I96" s="28" t="n">
        <x:f>'Dados originais'!X5</x:f>
        <x:v>4356.17</x:v>
      </x:c>
      <x:c r="J96" s="28" t="n">
        <x:f>'Dados originais'!Y5</x:f>
        <x:v>4478.14</x:v>
      </x:c>
      <x:c r="K96" s="28" t="n">
        <x:f>'Dados originais'!Z5</x:f>
        <x:v>4603.53</x:v>
      </x:c>
      <x:c r="L96" s="28" t="n">
        <x:f>'Dados originais'!AA5</x:f>
        <x:v>4732.43</x:v>
      </x:c>
      <x:c r="M96" s="28" t="n">
        <x:f>'Dados originais'!AB5</x:f>
        <x:v>4864.93</x:v>
      </x:c>
      <x:c r="N96" s="28" t="n">
        <x:f>'Dados originais'!AC5</x:f>
        <x:v>5001.15</x:v>
      </x:c>
      <x:c r="O96" s="28" t="n">
        <x:f>'Dados originais'!AD5</x:f>
        <x:v>5141.18</x:v>
      </x:c>
      <x:c r="P96" s="28" t="n">
        <x:f>'Dados originais'!AE5</x:f>
        <x:v>5285.14</x:v>
      </x:c>
      <x:c r="Q96" s="28" t="n">
        <x:f>'Dados originais'!AF5</x:f>
        <x:v>5433.12</x:v>
      </x:c>
      <x:c r="R96" s="28" t="n">
        <x:f>'Dados originais'!AG5</x:f>
        <x:v>5585.25</x:v>
      </x:c>
    </x:row>
    <x:row r="97" ht="26" customHeight="1">
      <x:c r="A97" s="2"/>
      <x:c r="B97" s="2" t="str">
        <x:v>III</x:v>
      </x:c>
      <x:c r="C97" s="7" t="str">
        <x:f> "+"&amp;TEXT('Parâmetros'!D21,"0.00")&amp;IF('Parâmetros'!C21="valor_fixo"," R$ / ","% / ")&amp;'Parâmetros'!E21</x:f>
        <x:v>+15.00% / II</x:v>
      </x:c>
      <x:c r="D97" s="4" t="n">
        <x:f>'Dados originais'!S6</x:f>
        <x:v>4363.52</x:v>
      </x:c>
      <x:c r="E97" s="4" t="n">
        <x:f>'Dados originais'!T6</x:f>
        <x:v>4485.7</x:v>
      </x:c>
      <x:c r="F97" s="4" t="n">
        <x:f>'Dados originais'!U6</x:f>
        <x:v>4611.3</x:v>
      </x:c>
      <x:c r="G97" s="4" t="n">
        <x:f>'Dados originais'!V6</x:f>
        <x:v>4740.41</x:v>
      </x:c>
      <x:c r="H97" s="4" t="n">
        <x:f>'Dados originais'!W6</x:f>
        <x:v>4873.14</x:v>
      </x:c>
      <x:c r="I97" s="4" t="n">
        <x:f>'Dados originais'!X6</x:f>
        <x:v>5009.59</x:v>
      </x:c>
      <x:c r="J97" s="4" t="n">
        <x:f>'Dados originais'!Y6</x:f>
        <x:v>5149.86</x:v>
      </x:c>
      <x:c r="K97" s="4" t="n">
        <x:f>'Dados originais'!Z6</x:f>
        <x:v>5294.06</x:v>
      </x:c>
      <x:c r="L97" s="4" t="n">
        <x:f>'Dados originais'!AA6</x:f>
        <x:v>5442.29</x:v>
      </x:c>
      <x:c r="M97" s="4" t="n">
        <x:f>'Dados originais'!AB6</x:f>
        <x:v>5594.67</x:v>
      </x:c>
      <x:c r="N97" s="4" t="n">
        <x:f>'Dados originais'!AC6</x:f>
        <x:v>5751.32</x:v>
      </x:c>
      <x:c r="O97" s="4" t="n">
        <x:f>'Dados originais'!AD6</x:f>
        <x:v>5912.36</x:v>
      </x:c>
      <x:c r="P97" s="4" t="n">
        <x:f>'Dados originais'!AE6</x:f>
        <x:v>6077.91</x:v>
      </x:c>
      <x:c r="Q97" s="4" t="n">
        <x:f>'Dados originais'!AF6</x:f>
        <x:v>6248.09</x:v>
      </x:c>
      <x:c r="R97" s="4" t="n">
        <x:f>'Dados originais'!AG6</x:f>
        <x:v>6423.04</x:v>
      </x:c>
    </x:row>
    <x:row r="98" ht="26" customHeight="1">
      <x:c r="A98" s="23"/>
      <x:c r="B98" s="24" t="str">
        <x:v>IV</x:v>
      </x:c>
      <x:c r="C98" s="25" t="str">
        <x:f> "+"&amp;TEXT('Parâmetros'!D22,"0.00")&amp;IF('Parâmetros'!C22="valor_fixo"," R$ / ","% / ")&amp;'Parâmetros'!E22</x:f>
        <x:v>+15.00% / III</x:v>
      </x:c>
      <x:c r="D98" s="29" t="n">
        <x:f>'Dados originais'!S7</x:f>
        <x:v>5018.04</x:v>
      </x:c>
      <x:c r="E98" s="29" t="n">
        <x:f>'Dados originais'!T7</x:f>
        <x:v>5158.55</x:v>
      </x:c>
      <x:c r="F98" s="29" t="n">
        <x:f>'Dados originais'!U7</x:f>
        <x:v>5302.99</x:v>
      </x:c>
      <x:c r="G98" s="29" t="n">
        <x:f>'Dados originais'!V7</x:f>
        <x:v>5451.47</x:v>
      </x:c>
      <x:c r="H98" s="29" t="n">
        <x:f>'Dados originais'!W7</x:f>
        <x:v>5604.11</x:v>
      </x:c>
      <x:c r="I98" s="29" t="n">
        <x:f>'Dados originais'!X7</x:f>
        <x:v>5761.03</x:v>
      </x:c>
      <x:c r="J98" s="29" t="n">
        <x:f>'Dados originais'!Y7</x:f>
        <x:v>5922.34</x:v>
      </x:c>
      <x:c r="K98" s="29" t="n">
        <x:f>'Dados originais'!Z7</x:f>
        <x:v>6088.16</x:v>
      </x:c>
      <x:c r="L98" s="29" t="n">
        <x:f>'Dados originais'!AA7</x:f>
        <x:v>6258.63</x:v>
      </x:c>
      <x:c r="M98" s="29" t="n">
        <x:f>'Dados originais'!AB7</x:f>
        <x:v>6433.87</x:v>
      </x:c>
      <x:c r="N98" s="29" t="n">
        <x:f>'Dados originais'!AC7</x:f>
        <x:v>6614.02</x:v>
      </x:c>
      <x:c r="O98" s="29" t="n">
        <x:f>'Dados originais'!AD7</x:f>
        <x:v>6799.22</x:v>
      </x:c>
      <x:c r="P98" s="29" t="n">
        <x:f>'Dados originais'!AE7</x:f>
        <x:v>6989.59</x:v>
      </x:c>
      <x:c r="Q98" s="29" t="n">
        <x:f>'Dados originais'!AF7</x:f>
        <x:v>7185.3</x:v>
      </x:c>
      <x:c r="R98" s="29" t="n">
        <x:f>'Dados originais'!AG7</x:f>
        <x:v>7386.49</x:v>
      </x:c>
    </x:row>
    <x:row r="99" ht="22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</x:row>
    <x:row r="100" ht="22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</x:row>
    <x:row r="101" ht="28" customHeight="1">
      <x:c r="A101" s="46" t="str">
        <x:v>• DEFASAGEM SALARIAL MENSAL •</x:v>
      </x:c>
      <x:c r="B101" s="46"/>
      <x:c r="C101" s="46"/>
      <x:c r="D101" s="46"/>
      <x:c r="E101" s="46"/>
      <x:c r="F101" s="46"/>
      <x:c r="G101" s="46"/>
      <x:c r="H101" s="46"/>
      <x:c r="I101" s="46"/>
      <x:c r="J101" s="46"/>
      <x:c r="K101" s="46"/>
      <x:c r="L101" s="46"/>
      <x:c r="M101" s="46"/>
      <x:c r="N101" s="46"/>
      <x:c r="O101" s="46"/>
      <x:c r="P101" s="46"/>
      <x:c r="Q101" s="46"/>
      <x:c r="R101" s="46"/>
    </x:row>
    <x:row r="102" ht="24" customHeight="1">
      <x:c r="A102" s="48" t="str">
        <x:v>AUXILIAR ADMINISTRATIVO OPERACIONAL — 40 HORAS</x:v>
      </x:c>
      <x:c r="B102" s="48"/>
      <x:c r="C102" s="48"/>
      <x:c r="D102" s="48"/>
      <x:c r="E102" s="48"/>
      <x:c r="F102" s="48"/>
      <x:c r="G102" s="48"/>
      <x:c r="H102" s="48"/>
      <x:c r="I102" s="48"/>
      <x:c r="J102" s="48"/>
      <x:c r="K102" s="48"/>
      <x:c r="L102" s="48"/>
      <x:c r="M102" s="48"/>
      <x:c r="N102" s="48"/>
      <x:c r="O102" s="48"/>
      <x:c r="P102" s="48"/>
      <x:c r="Q102" s="48"/>
      <x:c r="R102" s="48"/>
    </x:row>
    <x:row r="103" ht="28" customHeight="1">
      <x:c r="A103" s="51" t="str">
        <x:v>Classes →</x:v>
      </x:c>
      <x:c r="B103" s="51" t="str">
        <x:v>Nível</x:v>
      </x:c>
      <x:c r="C103" s="51" t="str">
        <x:v>Regra vertical</x:v>
      </x:c>
      <x:c r="D103" s="51" t="str">
        <x:v>XVI</x:v>
      </x:c>
      <x:c r="E103" s="51" t="str">
        <x:v>XVII</x:v>
      </x:c>
      <x:c r="F103" s="51" t="str">
        <x:v>XVIII</x:v>
      </x:c>
      <x:c r="G103" s="51" t="str">
        <x:v>XIX</x:v>
      </x:c>
      <x:c r="H103" s="51" t="str">
        <x:v>XX</x:v>
      </x:c>
      <x:c r="I103" s="51" t="str">
        <x:v>XXI</x:v>
      </x:c>
      <x:c r="J103" s="51" t="str">
        <x:v>XXII</x:v>
      </x:c>
      <x:c r="K103" s="51" t="str">
        <x:v>XXIII</x:v>
      </x:c>
      <x:c r="L103" s="51" t="str">
        <x:v>XXIV</x:v>
      </x:c>
      <x:c r="M103" s="51" t="str">
        <x:v>XXV</x:v>
      </x:c>
      <x:c r="N103" s="51" t="str">
        <x:v>XXVI</x:v>
      </x:c>
      <x:c r="O103" s="51" t="str">
        <x:v>XXVII</x:v>
      </x:c>
      <x:c r="P103" s="51" t="str">
        <x:v>XXVIII</x:v>
      </x:c>
      <x:c r="Q103" s="51" t="str">
        <x:v>XXIX</x:v>
      </x:c>
      <x:c r="R103" s="51" t="str">
        <x:v>XXX</x:v>
      </x:c>
    </x:row>
    <x:row r="104" ht="26" customHeight="1">
      <x:c r="A104" s="2" t="str">
        <x:v>Níveis ↓</x:v>
      </x:c>
      <x:c r="B104" s="2" t="str">
        <x:v>I</x:v>
      </x:c>
      <x:c r="C104" s="2" t="str">
        <x:v>Base</x:v>
      </x:c>
      <x:c r="D104" s="4" t="n">
        <x:f>D75-D84</x:f>
        <x:v>-164.95000000000027</x:v>
      </x:c>
      <x:c r="E104" s="4" t="n">
        <x:f>E75-E84</x:f>
        <x:v>-169.57000000000016</x:v>
      </x:c>
      <x:c r="F104" s="4" t="n">
        <x:f>F75-F84</x:f>
        <x:v>-174.3199999999997</x:v>
      </x:c>
      <x:c r="G104" s="4" t="n">
        <x:f>G75-G84</x:f>
        <x:v>-179.20000000000027</x:v>
      </x:c>
      <x:c r="H104" s="4" t="n">
        <x:f>H75-H84</x:f>
        <x:v>-184.21000000000004</x:v>
      </x:c>
      <x:c r="I104" s="4" t="n">
        <x:f>I75-I84</x:f>
        <x:v>-189.37000000000035</x:v>
      </x:c>
      <x:c r="J104" s="4" t="n">
        <x:f>J75-J84</x:f>
        <x:v>-194.67999999999984</x:v>
      </x:c>
      <x:c r="K104" s="4" t="n">
        <x:f>K75-K84</x:f>
        <x:v>-200.11999999999944</x:v>
      </x:c>
      <x:c r="L104" s="4" t="n">
        <x:f>L75-L84</x:f>
        <x:v>-205.73000000000047</x:v>
      </x:c>
      <x:c r="M104" s="4" t="n">
        <x:f>M75-M84</x:f>
        <x:v>-211.47999999999956</x:v>
      </x:c>
      <x:c r="N104" s="4" t="n">
        <x:f>N75-N84</x:f>
        <x:v>-217.39999999999964</x:v>
      </x:c>
      <x:c r="O104" s="4" t="n">
        <x:f>O75-O84</x:f>
        <x:v>-223.48999999999978</x:v>
      </x:c>
      <x:c r="P104" s="4" t="n">
        <x:f>P75-P84</x:f>
        <x:v>-229.73999999999978</x:v>
      </x:c>
      <x:c r="Q104" s="4" t="n">
        <x:f>Q75-Q84</x:f>
        <x:v>-236.17000000000007</x:v>
      </x:c>
      <x:c r="R104" s="4" t="n">
        <x:f>R75-R84</x:f>
        <x:v>-242.78000000000065</x:v>
      </x:c>
    </x:row>
    <x:row r="105" ht="26" customHeight="1">
      <x:c r="A105" s="2"/>
      <x:c r="B105" s="49" t="str">
        <x:v>II</x:v>
      </x:c>
      <x:c r="C105" s="52" t="str">
        <x:f> "+"&amp;TEXT('Parâmetros'!D20,"0.00")&amp;IF('Parâmetros'!C20="valor_fixo"," R$ / ","% / ")&amp;'Parâmetros'!E20</x:f>
        <x:v>+15.00% / I</x:v>
      </x:c>
      <x:c r="D105" s="53" t="n">
        <x:f>D76-D85</x:f>
        <x:v>-189.73999999999978</x:v>
      </x:c>
      <x:c r="E105" s="53" t="n">
        <x:f>E76-E85</x:f>
        <x:v>-195.05000000000018</x:v>
      </x:c>
      <x:c r="F105" s="53" t="n">
        <x:f>F76-F85</x:f>
        <x:v>-200.50999999999976</x:v>
      </x:c>
      <x:c r="G105" s="53" t="n">
        <x:f>G76-G85</x:f>
        <x:v>-206.1199999999999</x:v>
      </x:c>
      <x:c r="H105" s="53" t="n">
        <x:f>H76-H85</x:f>
        <x:v>-211.88999999999942</x:v>
      </x:c>
      <x:c r="I105" s="53" t="n">
        <x:f>I76-I85</x:f>
        <x:v>-217.8199999999997</x:v>
      </x:c>
      <x:c r="J105" s="53" t="n">
        <x:f>J76-J85</x:f>
        <x:v>-223.92000000000007</x:v>
      </x:c>
      <x:c r="K105" s="53" t="n">
        <x:f>K76-K85</x:f>
        <x:v>-230.1900000000005</x:v>
      </x:c>
      <x:c r="L105" s="53" t="n">
        <x:f>L76-L85</x:f>
        <x:v>-236.6300000000001</x:v>
      </x:c>
      <x:c r="M105" s="53" t="n">
        <x:f>M76-M85</x:f>
        <x:v>-243.2599999999993</x:v>
      </x:c>
      <x:c r="N105" s="53" t="n">
        <x:f>N76-N85</x:f>
        <x:v>-250.07000000000062</x:v>
      </x:c>
      <x:c r="O105" s="53" t="n">
        <x:f>O76-O85</x:f>
        <x:v>-257.0699999999997</x:v>
      </x:c>
      <x:c r="P105" s="53" t="n">
        <x:f>P76-P85</x:f>
        <x:v>-264.2599999999993</x:v>
      </x:c>
      <x:c r="Q105" s="53" t="n">
        <x:f>Q76-Q85</x:f>
        <x:v>-271.65999999999985</x:v>
      </x:c>
      <x:c r="R105" s="53" t="n">
        <x:f>R76-R85</x:f>
        <x:v>-279.2600000000002</x:v>
      </x:c>
    </x:row>
    <x:row r="106" ht="26" customHeight="1">
      <x:c r="A106" s="2"/>
      <x:c r="B106" s="2" t="str">
        <x:v>III</x:v>
      </x:c>
      <x:c r="C106" s="7" t="str">
        <x:f> "+"&amp;TEXT('Parâmetros'!D21,"0.00")&amp;IF('Parâmetros'!C21="valor_fixo"," R$ / ","% / ")&amp;'Parâmetros'!E21</x:f>
        <x:v>+15.00% / II</x:v>
      </x:c>
      <x:c r="D106" s="4" t="n">
        <x:f>D77-D86</x:f>
        <x:v>-218.15999999999985</x:v>
      </x:c>
      <x:c r="E106" s="4" t="n">
        <x:f>E77-E86</x:f>
        <x:v>-224.27000000000044</x:v>
      </x:c>
      <x:c r="F106" s="4" t="n">
        <x:f>F77-F86</x:f>
        <x:v>-230.55000000000018</x:v>
      </x:c>
      <x:c r="G106" s="4" t="n">
        <x:f>G77-G86</x:f>
        <x:v>-237.01000000000022</x:v>
      </x:c>
      <x:c r="H106" s="4" t="n">
        <x:f>H77-H86</x:f>
        <x:v>-243.64999999999964</x:v>
      </x:c>
      <x:c r="I106" s="4" t="n">
        <x:f>I77-I86</x:f>
        <x:v>-250.47000000000025</x:v>
      </x:c>
      <x:c r="J106" s="4" t="n">
        <x:f>J77-J86</x:f>
        <x:v>-257.4800000000005</x:v>
      </x:c>
      <x:c r="K106" s="4" t="n">
        <x:f>K77-K86</x:f>
        <x:v>-264.6899999999996</x:v>
      </x:c>
      <x:c r="L106" s="4" t="n">
        <x:f>L77-L86</x:f>
        <x:v>-272.1099999999997</x:v>
      </x:c>
      <x:c r="M106" s="4" t="n">
        <x:f>M77-M86</x:f>
        <x:v>-279.72999999999956</x:v>
      </x:c>
      <x:c r="N106" s="4" t="n">
        <x:f>N77-N86</x:f>
        <x:v>-287.5600000000004</x:v>
      </x:c>
      <x:c r="O106" s="4" t="n">
        <x:f>O77-O86</x:f>
        <x:v>-295.6100000000006</x:v>
      </x:c>
      <x:c r="P106" s="4" t="n">
        <x:f>P77-P86</x:f>
        <x:v>-303.8800000000001</x:v>
      </x:c>
      <x:c r="Q106" s="4" t="n">
        <x:f>Q77-Q86</x:f>
        <x:v>-312.3899999999994</x:v>
      </x:c>
      <x:c r="R106" s="4" t="n">
        <x:f>R77-R86</x:f>
        <x:v>-321.1300000000001</x:v>
      </x:c>
    </x:row>
    <x:row r="107" ht="26" customHeight="1">
      <x:c r="A107" s="54"/>
      <x:c r="B107" s="55" t="str">
        <x:v>IV</x:v>
      </x:c>
      <x:c r="C107" s="56" t="str">
        <x:f> "+"&amp;TEXT('Parâmetros'!D22,"0.00")&amp;IF('Parâmetros'!C22="valor_fixo"," R$ / ","% / ")&amp;'Parâmetros'!E22</x:f>
        <x:v>+15.00% / III</x:v>
      </x:c>
      <x:c r="D107" s="57" t="n">
        <x:f>D78-D87</x:f>
        <x:v>-250.89999999999964</x:v>
      </x:c>
      <x:c r="E107" s="57" t="n">
        <x:f>E78-E87</x:f>
        <x:v>-257.9200000000001</x:v>
      </x:c>
      <x:c r="F107" s="57" t="n">
        <x:f>F78-F87</x:f>
        <x:v>-265.1400000000003</x:v>
      </x:c>
      <x:c r="G107" s="57" t="n">
        <x:f>G78-G87</x:f>
        <x:v>-272.5699999999997</x:v>
      </x:c>
      <x:c r="H107" s="57" t="n">
        <x:f>H78-H87</x:f>
        <x:v>-280.2000000000007</x:v>
      </x:c>
      <x:c r="I107" s="57" t="n">
        <x:f>I78-I87</x:f>
        <x:v>-288.03999999999996</x:v>
      </x:c>
      <x:c r="J107" s="57" t="n">
        <x:f>J78-J87</x:f>
        <x:v>-296.09999999999945</x:v>
      </x:c>
      <x:c r="K107" s="57" t="n">
        <x:f>K78-K87</x:f>
        <x:v>-304.40000000000055</x:v>
      </x:c>
      <x:c r="L107" s="57" t="n">
        <x:f>L78-L87</x:f>
        <x:v>-312.9200000000001</x:v>
      </x:c>
      <x:c r="M107" s="57" t="n">
        <x:f>M78-M87</x:f>
        <x:v>-321.6800000000003</x:v>
      </x:c>
      <x:c r="N107" s="57" t="n">
        <x:f>N78-N87</x:f>
        <x:v>-330.6899999999996</x:v>
      </x:c>
      <x:c r="O107" s="57" t="n">
        <x:f>O78-O87</x:f>
        <x:v>-339.9399999999996</x:v>
      </x:c>
      <x:c r="P107" s="57" t="n">
        <x:f>P78-P87</x:f>
        <x:v>-349.47000000000025</x:v>
      </x:c>
      <x:c r="Q107" s="57" t="n">
        <x:f>Q78-Q87</x:f>
        <x:v>-359.25</x:v>
      </x:c>
      <x:c r="R107" s="57" t="n">
        <x:f>R78-R87</x:f>
        <x:v>-369.3100000000004</x:v>
      </x:c>
    </x:row>
    <x:row r="108" ht="22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</x:row>
    <x:row r="109" ht="22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</x:row>
    <x:row r="110" ht="30" customHeight="1">
      <x:c r="A110" s="12" t="str">
        <x:v>Defasagem = referência ÷ atual − 1. Diferença mensal = atual − referência; negativa indica valor abaixo da referência.</x:v>
      </x:c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</x:row>
    <x:row r="111" ht="22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</x:row>
    <x:row r="112" ht="30" customHeight="1">
      <x:c r="A112" s="63" t="str">
        <x:v>DEFASAGEM SALARIAL EM RELAÇÃO À REFERÊNCIA</x:v>
      </x:c>
      <x:c r="B112" s="63"/>
      <x:c r="C112" s="63"/>
      <x:c r="D112" s="63"/>
      <x:c r="E112" s="63"/>
      <x:c r="F112" s="63"/>
      <x:c r="G112" s="63"/>
      <x:c r="H112" s="63"/>
      <x:c r="I112" s="63"/>
      <x:c r="J112" s="63"/>
      <x:c r="K112" s="63"/>
      <x:c r="L112" s="63"/>
      <x:c r="M112" s="63"/>
      <x:c r="N112" s="63"/>
      <x:c r="O112" s="64" t="n">
        <x:f>D28/D19-1</x:f>
        <x:v>0.049999082753939605</x:v>
      </x:c>
      <x:c r="P112" s="63"/>
      <x:c r="Q112" s="63"/>
      <x:c r="R112" s="63"/>
    </x:row>
    <x:row r="113" ht="24" customHeight="1">
      <x:c r="A113" s="63"/>
      <x:c r="B113" s="63"/>
      <x:c r="C113" s="63"/>
      <x:c r="D113" s="63"/>
      <x:c r="E113" s="63"/>
      <x:c r="F113" s="63"/>
      <x:c r="G113" s="63"/>
      <x:c r="H113" s="63"/>
      <x:c r="I113" s="63"/>
      <x:c r="J113" s="63"/>
      <x:c r="K113" s="63"/>
      <x:c r="L113" s="63"/>
      <x:c r="M113" s="63"/>
      <x:c r="N113" s="63"/>
      <x:c r="O113" s="63"/>
      <x:c r="P113" s="63"/>
      <x:c r="Q113" s="63"/>
      <x:c r="R113" s="63"/>
    </x:row>
    <x:row r="114" ht="22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</x:row>
    <x:row r="115" ht="22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</x:row>
    <x:row r="116" ht="22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</x:row>
    <x:row r="117" ht="30" customHeight="1">
      <x:c r="A117" s="12" t="str">
        <x:v>Continuação das classes/referências: XXXI a XLV. Nenhuma classe foi descartada.</x:v>
      </x:c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</x:row>
    <x:row r="119" ht="28" customHeight="1">
      <x:c r="A119" s="14" t="str">
        <x:v>ESTRUTURA DE PROMOÇÃO / PROGRESSÃO</x:v>
      </x:c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  <x:c r="R119" s="14"/>
    </x:row>
    <x:row r="120" ht="24" customHeight="1">
      <x:c r="A120" s="16" t="str">
        <x:v>AUXILIAR ADMINISTRATIVO OPERACIONAL — 40 HORAS</x:v>
      </x:c>
      <x:c r="B120" s="16"/>
      <x:c r="C120" s="16"/>
      <x:c r="D120" s="16"/>
      <x:c r="E120" s="16"/>
      <x:c r="F120" s="16"/>
      <x:c r="G120" s="16"/>
      <x:c r="H120" s="16"/>
      <x:c r="I120" s="16"/>
      <x:c r="J120" s="16"/>
      <x:c r="K120" s="16"/>
      <x:c r="L120" s="16"/>
      <x:c r="M120" s="16"/>
      <x:c r="N120" s="16"/>
      <x:c r="O120" s="16"/>
      <x:c r="P120" s="16"/>
      <x:c r="Q120" s="16"/>
      <x:c r="R120" s="16"/>
    </x:row>
    <x:row r="121" ht="28" customHeight="1">
      <x:c r="A121" s="19" t="str">
        <x:v>Classes →</x:v>
      </x:c>
      <x:c r="B121" s="19" t="str">
        <x:v>Nível</x:v>
      </x:c>
      <x:c r="C121" s="19" t="str">
        <x:v>Regra vertical</x:v>
      </x:c>
      <x:c r="D121" s="19" t="str">
        <x:v>XXXI</x:v>
      </x:c>
      <x:c r="E121" s="19" t="str">
        <x:v>XXXII</x:v>
      </x:c>
      <x:c r="F121" s="19" t="str">
        <x:v>XXXIII</x:v>
      </x:c>
      <x:c r="G121" s="19" t="str">
        <x:v>XXXIV</x:v>
      </x:c>
      <x:c r="H121" s="19" t="str">
        <x:v>XXXV</x:v>
      </x:c>
      <x:c r="I121" s="19" t="str">
        <x:v>XXXVI</x:v>
      </x:c>
      <x:c r="J121" s="19" t="str">
        <x:v>XXXVII</x:v>
      </x:c>
      <x:c r="K121" s="19" t="str">
        <x:v>XXXVIII</x:v>
      </x:c>
      <x:c r="L121" s="19" t="str">
        <x:v>XXXIX</x:v>
      </x:c>
      <x:c r="M121" s="19" t="str">
        <x:v>XL</x:v>
      </x:c>
      <x:c r="N121" s="19" t="str">
        <x:v>XLI</x:v>
      </x:c>
      <x:c r="O121" s="19" t="str">
        <x:v>XLII</x:v>
      </x:c>
      <x:c r="P121" s="19" t="str">
        <x:v>XLIII</x:v>
      </x:c>
      <x:c r="Q121" s="19" t="str">
        <x:v>XLIV</x:v>
      </x:c>
      <x:c r="R121" s="19" t="str">
        <x:v>XLV</x:v>
      </x:c>
    </x:row>
    <x:row r="122" ht="26" customHeight="1">
      <x:c r="A122" s="2" t="str">
        <x:v>Níveis ↓</x:v>
      </x:c>
      <x:c r="B122" s="2" t="str">
        <x:v>I</x:v>
      </x:c>
      <x:c r="C122" s="2" t="str">
        <x:v>Base</x:v>
      </x:c>
      <x:c r="D122" s="6" t="n">
        <x:f>'Parâmetros'!C56/100</x:f>
        <x:v>0.027999999999999997</x:v>
      </x:c>
      <x:c r="E122" s="6" t="n">
        <x:f>'Parâmetros'!C57/100</x:f>
        <x:v>0.027999999999999997</x:v>
      </x:c>
      <x:c r="F122" s="6" t="n">
        <x:f>'Parâmetros'!C58/100</x:f>
        <x:v>0.027999999999999997</x:v>
      </x:c>
      <x:c r="G122" s="6" t="n">
        <x:f>'Parâmetros'!C59/100</x:f>
        <x:v>0.027999999999999997</x:v>
      </x:c>
      <x:c r="H122" s="6" t="n">
        <x:f>'Parâmetros'!C60/100</x:f>
        <x:v>0.027999999999999997</x:v>
      </x:c>
      <x:c r="I122" s="6" t="n">
        <x:f>'Parâmetros'!C61/100</x:f>
        <x:v>0.027999999999999997</x:v>
      </x:c>
      <x:c r="J122" s="6" t="n">
        <x:f>'Parâmetros'!C62/100</x:f>
        <x:v>0.027999999999999997</x:v>
      </x:c>
      <x:c r="K122" s="6" t="n">
        <x:f>'Parâmetros'!C63/100</x:f>
        <x:v>0.027999999999999997</x:v>
      </x:c>
      <x:c r="L122" s="6" t="n">
        <x:f>'Parâmetros'!C64/100</x:f>
        <x:v>0.027999999999999997</x:v>
      </x:c>
      <x:c r="M122" s="6" t="n">
        <x:f>'Parâmetros'!C65/100</x:f>
        <x:v>0.027999999999999997</x:v>
      </x:c>
      <x:c r="N122" s="6" t="n">
        <x:f>'Parâmetros'!C66/100</x:f>
        <x:v>0.027999999999999997</x:v>
      </x:c>
      <x:c r="O122" s="6" t="n">
        <x:f>'Parâmetros'!C67/100</x:f>
        <x:v>0.027999999999999997</x:v>
      </x:c>
      <x:c r="P122" s="6" t="n">
        <x:f>'Parâmetros'!C68/100</x:f>
        <x:v>0.027999999999999997</x:v>
      </x:c>
      <x:c r="Q122" s="6" t="n">
        <x:f>'Parâmetros'!C69/100</x:f>
        <x:v>0.027999999999999997</x:v>
      </x:c>
      <x:c r="R122" s="6" t="n">
        <x:f>'Parâmetros'!C70/100</x:f>
        <x:v>0.027999999999999997</x:v>
      </x:c>
    </x:row>
    <x:row r="123" ht="26" customHeight="1">
      <x:c r="A123" s="2"/>
      <x:c r="B123" s="17" t="str">
        <x:v>II</x:v>
      </x:c>
      <x:c r="C123" s="20" t="str">
        <x:f> "+"&amp;TEXT('Parâmetros'!D20,"0.00")&amp;IF('Parâmetros'!C20="valor_fixo"," R$ / ","% / ")&amp;'Parâmetros'!E20</x:f>
        <x:v>+15.00% / I</x:v>
      </x:c>
      <x:c r="D123" s="22" t="n">
        <x:f>'Parâmetros'!C56/100</x:f>
        <x:v>0.027999999999999997</x:v>
      </x:c>
      <x:c r="E123" s="22" t="n">
        <x:f>'Parâmetros'!C57/100</x:f>
        <x:v>0.027999999999999997</x:v>
      </x:c>
      <x:c r="F123" s="22" t="n">
        <x:f>'Parâmetros'!C58/100</x:f>
        <x:v>0.027999999999999997</x:v>
      </x:c>
      <x:c r="G123" s="22" t="n">
        <x:f>'Parâmetros'!C59/100</x:f>
        <x:v>0.027999999999999997</x:v>
      </x:c>
      <x:c r="H123" s="22" t="n">
        <x:f>'Parâmetros'!C60/100</x:f>
        <x:v>0.027999999999999997</x:v>
      </x:c>
      <x:c r="I123" s="22" t="n">
        <x:f>'Parâmetros'!C61/100</x:f>
        <x:v>0.027999999999999997</x:v>
      </x:c>
      <x:c r="J123" s="22" t="n">
        <x:f>'Parâmetros'!C62/100</x:f>
        <x:v>0.027999999999999997</x:v>
      </x:c>
      <x:c r="K123" s="22" t="n">
        <x:f>'Parâmetros'!C63/100</x:f>
        <x:v>0.027999999999999997</x:v>
      </x:c>
      <x:c r="L123" s="22" t="n">
        <x:f>'Parâmetros'!C64/100</x:f>
        <x:v>0.027999999999999997</x:v>
      </x:c>
      <x:c r="M123" s="22" t="n">
        <x:f>'Parâmetros'!C65/100</x:f>
        <x:v>0.027999999999999997</x:v>
      </x:c>
      <x:c r="N123" s="22" t="n">
        <x:f>'Parâmetros'!C66/100</x:f>
        <x:v>0.027999999999999997</x:v>
      </x:c>
      <x:c r="O123" s="22" t="n">
        <x:f>'Parâmetros'!C67/100</x:f>
        <x:v>0.027999999999999997</x:v>
      </x:c>
      <x:c r="P123" s="22" t="n">
        <x:f>'Parâmetros'!C68/100</x:f>
        <x:v>0.027999999999999997</x:v>
      </x:c>
      <x:c r="Q123" s="22" t="n">
        <x:f>'Parâmetros'!C69/100</x:f>
        <x:v>0.027999999999999997</x:v>
      </x:c>
      <x:c r="R123" s="22" t="n">
        <x:f>'Parâmetros'!C70/100</x:f>
        <x:v>0.027999999999999997</x:v>
      </x:c>
    </x:row>
    <x:row r="124" ht="26" customHeight="1">
      <x:c r="A124" s="2"/>
      <x:c r="B124" s="2" t="str">
        <x:v>III</x:v>
      </x:c>
      <x:c r="C124" s="7" t="str">
        <x:f> "+"&amp;TEXT('Parâmetros'!D21,"0.00")&amp;IF('Parâmetros'!C21="valor_fixo"," R$ / ","% / ")&amp;'Parâmetros'!E21</x:f>
        <x:v>+15.00% / II</x:v>
      </x:c>
      <x:c r="D124" s="6" t="n">
        <x:f>'Parâmetros'!C56/100</x:f>
        <x:v>0.027999999999999997</x:v>
      </x:c>
      <x:c r="E124" s="6" t="n">
        <x:f>'Parâmetros'!C57/100</x:f>
        <x:v>0.027999999999999997</x:v>
      </x:c>
      <x:c r="F124" s="6" t="n">
        <x:f>'Parâmetros'!C58/100</x:f>
        <x:v>0.027999999999999997</x:v>
      </x:c>
      <x:c r="G124" s="6" t="n">
        <x:f>'Parâmetros'!C59/100</x:f>
        <x:v>0.027999999999999997</x:v>
      </x:c>
      <x:c r="H124" s="6" t="n">
        <x:f>'Parâmetros'!C60/100</x:f>
        <x:v>0.027999999999999997</x:v>
      </x:c>
      <x:c r="I124" s="6" t="n">
        <x:f>'Parâmetros'!C61/100</x:f>
        <x:v>0.027999999999999997</x:v>
      </x:c>
      <x:c r="J124" s="6" t="n">
        <x:f>'Parâmetros'!C62/100</x:f>
        <x:v>0.027999999999999997</x:v>
      </x:c>
      <x:c r="K124" s="6" t="n">
        <x:f>'Parâmetros'!C63/100</x:f>
        <x:v>0.027999999999999997</x:v>
      </x:c>
      <x:c r="L124" s="6" t="n">
        <x:f>'Parâmetros'!C64/100</x:f>
        <x:v>0.027999999999999997</x:v>
      </x:c>
      <x:c r="M124" s="6" t="n">
        <x:f>'Parâmetros'!C65/100</x:f>
        <x:v>0.027999999999999997</x:v>
      </x:c>
      <x:c r="N124" s="6" t="n">
        <x:f>'Parâmetros'!C66/100</x:f>
        <x:v>0.027999999999999997</x:v>
      </x:c>
      <x:c r="O124" s="6" t="n">
        <x:f>'Parâmetros'!C67/100</x:f>
        <x:v>0.027999999999999997</x:v>
      </x:c>
      <x:c r="P124" s="6" t="n">
        <x:f>'Parâmetros'!C68/100</x:f>
        <x:v>0.027999999999999997</x:v>
      </x:c>
      <x:c r="Q124" s="6" t="n">
        <x:f>'Parâmetros'!C69/100</x:f>
        <x:v>0.027999999999999997</x:v>
      </x:c>
      <x:c r="R124" s="6" t="n">
        <x:f>'Parâmetros'!C70/100</x:f>
        <x:v>0.027999999999999997</x:v>
      </x:c>
    </x:row>
    <x:row r="125" ht="26" customHeight="1">
      <x:c r="A125" s="23"/>
      <x:c r="B125" s="24" t="str">
        <x:v>IV</x:v>
      </x:c>
      <x:c r="C125" s="25" t="str">
        <x:f> "+"&amp;TEXT('Parâmetros'!D22,"0.00")&amp;IF('Parâmetros'!C22="valor_fixo"," R$ / ","% / ")&amp;'Parâmetros'!E22</x:f>
        <x:v>+15.00% / III</x:v>
      </x:c>
      <x:c r="D125" s="27" t="n">
        <x:f>'Parâmetros'!C56/100</x:f>
        <x:v>0.027999999999999997</x:v>
      </x:c>
      <x:c r="E125" s="27" t="n">
        <x:f>'Parâmetros'!C57/100</x:f>
        <x:v>0.027999999999999997</x:v>
      </x:c>
      <x:c r="F125" s="27" t="n">
        <x:f>'Parâmetros'!C58/100</x:f>
        <x:v>0.027999999999999997</x:v>
      </x:c>
      <x:c r="G125" s="27" t="n">
        <x:f>'Parâmetros'!C59/100</x:f>
        <x:v>0.027999999999999997</x:v>
      </x:c>
      <x:c r="H125" s="27" t="n">
        <x:f>'Parâmetros'!C60/100</x:f>
        <x:v>0.027999999999999997</x:v>
      </x:c>
      <x:c r="I125" s="27" t="n">
        <x:f>'Parâmetros'!C61/100</x:f>
        <x:v>0.027999999999999997</x:v>
      </x:c>
      <x:c r="J125" s="27" t="n">
        <x:f>'Parâmetros'!C62/100</x:f>
        <x:v>0.027999999999999997</x:v>
      </x:c>
      <x:c r="K125" s="27" t="n">
        <x:f>'Parâmetros'!C63/100</x:f>
        <x:v>0.027999999999999997</x:v>
      </x:c>
      <x:c r="L125" s="27" t="n">
        <x:f>'Parâmetros'!C64/100</x:f>
        <x:v>0.027999999999999997</x:v>
      </x:c>
      <x:c r="M125" s="27" t="n">
        <x:f>'Parâmetros'!C65/100</x:f>
        <x:v>0.027999999999999997</x:v>
      </x:c>
      <x:c r="N125" s="27" t="n">
        <x:f>'Parâmetros'!C66/100</x:f>
        <x:v>0.027999999999999997</x:v>
      </x:c>
      <x:c r="O125" s="27" t="n">
        <x:f>'Parâmetros'!C67/100</x:f>
        <x:v>0.027999999999999997</x:v>
      </x:c>
      <x:c r="P125" s="27" t="n">
        <x:f>'Parâmetros'!C68/100</x:f>
        <x:v>0.027999999999999997</x:v>
      </x:c>
      <x:c r="Q125" s="27" t="n">
        <x:f>'Parâmetros'!C69/100</x:f>
        <x:v>0.027999999999999997</x:v>
      </x:c>
      <x:c r="R125" s="27" t="n">
        <x:f>'Parâmetros'!C70/100</x:f>
        <x:v>0.027999999999999997</x:v>
      </x:c>
    </x:row>
    <x:row r="126" ht="22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</x:row>
    <x:row r="127" ht="22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</x:row>
    <x:row r="128" ht="28" customHeight="1">
      <x:c r="A128" s="14" t="str">
        <x:v>• TABELA DE VENCIMENTOS 2026 •</x:v>
      </x:c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  <x:c r="R128" s="14"/>
    </x:row>
    <x:row r="129" ht="24" customHeight="1">
      <x:c r="A129" s="16" t="str">
        <x:v>AUXILIAR ADMINISTRATIVO OPERACIONAL — 40 HORAS</x:v>
      </x:c>
      <x:c r="B129" s="16"/>
      <x:c r="C129" s="16"/>
      <x:c r="D129" s="16"/>
      <x:c r="E129" s="16"/>
      <x:c r="F129" s="16"/>
      <x:c r="G129" s="16"/>
      <x:c r="H129" s="16"/>
      <x:c r="I129" s="16"/>
      <x:c r="J129" s="16"/>
      <x:c r="K129" s="16"/>
      <x:c r="L129" s="16"/>
      <x:c r="M129" s="16"/>
      <x:c r="N129" s="16"/>
      <x:c r="O129" s="16"/>
      <x:c r="P129" s="16"/>
      <x:c r="Q129" s="16"/>
      <x:c r="R129" s="16"/>
    </x:row>
    <x:row r="130" ht="28" customHeight="1">
      <x:c r="A130" s="19" t="str">
        <x:v>Classes →</x:v>
      </x:c>
      <x:c r="B130" s="19" t="str">
        <x:v>Nível</x:v>
      </x:c>
      <x:c r="C130" s="19" t="str">
        <x:v>Regra vertical</x:v>
      </x:c>
      <x:c r="D130" s="19" t="str">
        <x:v>XXXI</x:v>
      </x:c>
      <x:c r="E130" s="19" t="str">
        <x:v>XXXII</x:v>
      </x:c>
      <x:c r="F130" s="19" t="str">
        <x:v>XXXIII</x:v>
      </x:c>
      <x:c r="G130" s="19" t="str">
        <x:v>XXXIV</x:v>
      </x:c>
      <x:c r="H130" s="19" t="str">
        <x:v>XXXV</x:v>
      </x:c>
      <x:c r="I130" s="19" t="str">
        <x:v>XXXVI</x:v>
      </x:c>
      <x:c r="J130" s="19" t="str">
        <x:v>XXXVII</x:v>
      </x:c>
      <x:c r="K130" s="19" t="str">
        <x:v>XXXVIII</x:v>
      </x:c>
      <x:c r="L130" s="19" t="str">
        <x:v>XXXIX</x:v>
      </x:c>
      <x:c r="M130" s="19" t="str">
        <x:v>XL</x:v>
      </x:c>
      <x:c r="N130" s="19" t="str">
        <x:v>XLI</x:v>
      </x:c>
      <x:c r="O130" s="19" t="str">
        <x:v>XLII</x:v>
      </x:c>
      <x:c r="P130" s="19" t="str">
        <x:v>XLIII</x:v>
      </x:c>
      <x:c r="Q130" s="19" t="str">
        <x:v>XLIV</x:v>
      </x:c>
      <x:c r="R130" s="19" t="str">
        <x:v>XLV</x:v>
      </x:c>
    </x:row>
    <x:row r="131" ht="26" customHeight="1">
      <x:c r="A131" s="2" t="str">
        <x:v>Níveis ↓</x:v>
      </x:c>
      <x:c r="B131" s="2" t="str">
        <x:v>I</x:v>
      </x:c>
      <x:c r="C131" s="2" t="str">
        <x:v>Base</x:v>
      </x:c>
      <x:c r="D131" s="4" t="n">
        <x:f>'Dados originais'!AH4</x:f>
        <x:v>4992.73</x:v>
      </x:c>
      <x:c r="E131" s="4" t="n">
        <x:f>'Dados originais'!AI4</x:f>
        <x:v>5132.52</x:v>
      </x:c>
      <x:c r="F131" s="4" t="n">
        <x:f>'Dados originais'!AJ4</x:f>
        <x:v>5276.23</x:v>
      </x:c>
      <x:c r="G131" s="4" t="n">
        <x:f>'Dados originais'!AK4</x:f>
        <x:v>5423.97</x:v>
      </x:c>
      <x:c r="H131" s="4" t="n">
        <x:f>'Dados originais'!AL4</x:f>
        <x:v>5575.84</x:v>
      </x:c>
      <x:c r="I131" s="4" t="n">
        <x:f>'Dados originais'!AM4</x:f>
        <x:v>5731.96</x:v>
      </x:c>
      <x:c r="J131" s="4" t="n">
        <x:f>'Dados originais'!AN4</x:f>
        <x:v>5892.46</x:v>
      </x:c>
      <x:c r="K131" s="4" t="n">
        <x:f>'Dados originais'!AO4</x:f>
        <x:v>6057.45</x:v>
      </x:c>
      <x:c r="L131" s="4" t="n">
        <x:f>'Dados originais'!AP4</x:f>
        <x:v>6227.05</x:v>
      </x:c>
      <x:c r="M131" s="4" t="n">
        <x:f>'Dados originais'!AQ4</x:f>
        <x:v>6401.41</x:v>
      </x:c>
      <x:c r="N131" s="4" t="n">
        <x:f>'Dados originais'!AR4</x:f>
        <x:v>6580.65</x:v>
      </x:c>
      <x:c r="O131" s="4" t="n">
        <x:f>'Dados originais'!AS4</x:f>
        <x:v>6764.91</x:v>
      </x:c>
      <x:c r="P131" s="4" t="n">
        <x:f>'Dados originais'!AT4</x:f>
        <x:v>6954.33</x:v>
      </x:c>
      <x:c r="Q131" s="4" t="n">
        <x:f>'Dados originais'!AU4</x:f>
        <x:v>7149.05</x:v>
      </x:c>
      <x:c r="R131" s="4" t="n">
        <x:f>'Dados originais'!AV4</x:f>
        <x:v>7349.22</x:v>
      </x:c>
    </x:row>
    <x:row r="132" ht="26" customHeight="1">
      <x:c r="A132" s="2"/>
      <x:c r="B132" s="17" t="str">
        <x:v>II</x:v>
      </x:c>
      <x:c r="C132" s="20" t="str">
        <x:f> "+"&amp;TEXT('Parâmetros'!D20,"0.00")&amp;IF('Parâmetros'!C20="valor_fixo"," R$ / ","% / ")&amp;'Parâmetros'!E20</x:f>
        <x:v>+15.00% / I</x:v>
      </x:c>
      <x:c r="D132" s="28" t="n">
        <x:f>'Dados originais'!AH5</x:f>
        <x:v>5741.63</x:v>
      </x:c>
      <x:c r="E132" s="28" t="n">
        <x:f>'Dados originais'!AI5</x:f>
        <x:v>5902.4</x:v>
      </x:c>
      <x:c r="F132" s="28" t="n">
        <x:f>'Dados originais'!AJ5</x:f>
        <x:v>6067.67</x:v>
      </x:c>
      <x:c r="G132" s="28" t="n">
        <x:f>'Dados originais'!AK5</x:f>
        <x:v>6237.56</x:v>
      </x:c>
      <x:c r="H132" s="28" t="n">
        <x:f>'Dados originais'!AL5</x:f>
        <x:v>6412.21</x:v>
      </x:c>
      <x:c r="I132" s="28" t="n">
        <x:f>'Dados originais'!AM5</x:f>
        <x:v>6591.76</x:v>
      </x:c>
      <x:c r="J132" s="28" t="n">
        <x:f>'Dados originais'!AN5</x:f>
        <x:v>6776.32</x:v>
      </x:c>
      <x:c r="K132" s="28" t="n">
        <x:f>'Dados originais'!AO5</x:f>
        <x:v>6966.06</x:v>
      </x:c>
      <x:c r="L132" s="28" t="n">
        <x:f>'Dados originais'!AP5</x:f>
        <x:v>7161.11</x:v>
      </x:c>
      <x:c r="M132" s="28" t="n">
        <x:f>'Dados originais'!AQ5</x:f>
        <x:v>7361.62</x:v>
      </x:c>
      <x:c r="N132" s="28" t="n">
        <x:f>'Dados originais'!AR5</x:f>
        <x:v>7567.75</x:v>
      </x:c>
      <x:c r="O132" s="28" t="n">
        <x:f>'Dados originais'!AS5</x:f>
        <x:v>7779.65</x:v>
      </x:c>
      <x:c r="P132" s="28" t="n">
        <x:f>'Dados originais'!AT5</x:f>
        <x:v>7997.48</x:v>
      </x:c>
      <x:c r="Q132" s="28" t="n">
        <x:f>'Dados originais'!AU5</x:f>
        <x:v>8221.4</x:v>
      </x:c>
      <x:c r="R132" s="28" t="n">
        <x:f>'Dados originais'!AV5</x:f>
        <x:v>8451.6</x:v>
      </x:c>
    </x:row>
    <x:row r="133" ht="26" customHeight="1">
      <x:c r="A133" s="2"/>
      <x:c r="B133" s="2" t="str">
        <x:v>III</x:v>
      </x:c>
      <x:c r="C133" s="7" t="str">
        <x:f> "+"&amp;TEXT('Parâmetros'!D21,"0.00")&amp;IF('Parâmetros'!C21="valor_fixo"," R$ / ","% / ")&amp;'Parâmetros'!E21</x:f>
        <x:v>+15.00% / II</x:v>
      </x:c>
      <x:c r="D133" s="4" t="n">
        <x:f>'Dados originais'!AH6</x:f>
        <x:v>6602.88</x:v>
      </x:c>
      <x:c r="E133" s="4" t="n">
        <x:f>'Dados originais'!AI6</x:f>
        <x:v>6787.76</x:v>
      </x:c>
      <x:c r="F133" s="4" t="n">
        <x:f>'Dados originais'!AJ6</x:f>
        <x:v>6977.82</x:v>
      </x:c>
      <x:c r="G133" s="4" t="n">
        <x:f>'Dados originais'!AK6</x:f>
        <x:v>7173.2</x:v>
      </x:c>
      <x:c r="H133" s="4" t="n">
        <x:f>'Dados originais'!AL6</x:f>
        <x:v>7374.05</x:v>
      </x:c>
      <x:c r="I133" s="4" t="n">
        <x:f>'Dados originais'!AM6</x:f>
        <x:v>7580.52</x:v>
      </x:c>
      <x:c r="J133" s="4" t="n">
        <x:f>'Dados originais'!AN6</x:f>
        <x:v>7792.77</x:v>
      </x:c>
      <x:c r="K133" s="4" t="n">
        <x:f>'Dados originais'!AO6</x:f>
        <x:v>8010.97</x:v>
      </x:c>
      <x:c r="L133" s="4" t="n">
        <x:f>'Dados originais'!AP6</x:f>
        <x:v>8235.28</x:v>
      </x:c>
      <x:c r="M133" s="4" t="n">
        <x:f>'Dados originais'!AQ6</x:f>
        <x:v>8465.87</x:v>
      </x:c>
      <x:c r="N133" s="4" t="n">
        <x:f>'Dados originais'!AR6</x:f>
        <x:v>8702.91</x:v>
      </x:c>
      <x:c r="O133" s="4" t="n">
        <x:f>'Dados originais'!AS6</x:f>
        <x:v>8946.59</x:v>
      </x:c>
      <x:c r="P133" s="4" t="n">
        <x:f>'Dados originais'!AT6</x:f>
        <x:v>9197.1</x:v>
      </x:c>
      <x:c r="Q133" s="4" t="n">
        <x:f>'Dados originais'!AU6</x:f>
        <x:v>9454.62</x:v>
      </x:c>
      <x:c r="R133" s="4" t="n">
        <x:f>'Dados originais'!AV6</x:f>
        <x:v>9719.35</x:v>
      </x:c>
    </x:row>
    <x:row r="134" ht="26" customHeight="1">
      <x:c r="A134" s="23"/>
      <x:c r="B134" s="24" t="str">
        <x:v>IV</x:v>
      </x:c>
      <x:c r="C134" s="25" t="str">
        <x:f> "+"&amp;TEXT('Parâmetros'!D22,"0.00")&amp;IF('Parâmetros'!C22="valor_fixo"," R$ / ","% / ")&amp;'Parâmetros'!E22</x:f>
        <x:v>+15.00% / III</x:v>
      </x:c>
      <x:c r="D134" s="29" t="n">
        <x:f>'Dados originais'!AH7</x:f>
        <x:v>7593.31</x:v>
      </x:c>
      <x:c r="E134" s="29" t="n">
        <x:f>'Dados originais'!AI7</x:f>
        <x:v>7805.92</x:v>
      </x:c>
      <x:c r="F134" s="29" t="n">
        <x:f>'Dados originais'!AJ7</x:f>
        <x:v>8024.49</x:v>
      </x:c>
      <x:c r="G134" s="29" t="n">
        <x:f>'Dados originais'!AK7</x:f>
        <x:v>8249.18</x:v>
      </x:c>
      <x:c r="H134" s="29" t="n">
        <x:f>'Dados originais'!AL7</x:f>
        <x:v>8480.15</x:v>
      </x:c>
      <x:c r="I134" s="29" t="n">
        <x:f>'Dados originais'!AM7</x:f>
        <x:v>8717.6</x:v>
      </x:c>
      <x:c r="J134" s="29" t="n">
        <x:f>'Dados originais'!AN7</x:f>
        <x:v>8961.69</x:v>
      </x:c>
      <x:c r="K134" s="29" t="n">
        <x:f>'Dados originais'!AO7</x:f>
        <x:v>9212.62</x:v>
      </x:c>
      <x:c r="L134" s="29" t="n">
        <x:f>'Dados originais'!AP7</x:f>
        <x:v>9470.57</x:v>
      </x:c>
      <x:c r="M134" s="29" t="n">
        <x:f>'Dados originais'!AQ7</x:f>
        <x:v>9735.75</x:v>
      </x:c>
      <x:c r="N134" s="29" t="n">
        <x:f>'Dados originais'!AR7</x:f>
        <x:v>10008.35</x:v>
      </x:c>
      <x:c r="O134" s="29" t="n">
        <x:f>'Dados originais'!AS7</x:f>
        <x:v>10288.58</x:v>
      </x:c>
      <x:c r="P134" s="29" t="n">
        <x:f>'Dados originais'!AT7</x:f>
        <x:v>10576.66</x:v>
      </x:c>
      <x:c r="Q134" s="29" t="n">
        <x:f>'Dados originais'!AU7</x:f>
        <x:v>10872.81</x:v>
      </x:c>
      <x:c r="R134" s="29" t="n">
        <x:f>'Dados originais'!AV7</x:f>
        <x:v>11177.25</x:v>
      </x:c>
    </x:row>
    <x:row r="135" ht="22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</x:row>
    <x:row r="136" ht="22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</x:row>
    <x:row r="137" ht="28" customHeight="1">
      <x:c r="A137" s="32" t="str">
        <x:v>• TABELA DE VENCIMENTOS — REFERÊNCIA Cenário didático: base inicial +5% •</x:v>
      </x:c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</x:row>
    <x:row r="138" ht="24" customHeight="1">
      <x:c r="A138" s="34" t="str">
        <x:v>AUXILIAR ADMINISTRATIVO OPERACIONAL — 40 HORAS</x:v>
      </x:c>
      <x:c r="B138" s="34"/>
      <x:c r="C138" s="34"/>
      <x:c r="D138" s="34"/>
      <x:c r="E138" s="34"/>
      <x:c r="F138" s="34"/>
      <x:c r="G138" s="34"/>
      <x:c r="H138" s="34"/>
      <x:c r="I138" s="34"/>
      <x:c r="J138" s="34"/>
      <x:c r="K138" s="34"/>
      <x:c r="L138" s="34"/>
      <x:c r="M138" s="34"/>
      <x:c r="N138" s="34"/>
      <x:c r="O138" s="34"/>
      <x:c r="P138" s="34"/>
      <x:c r="Q138" s="34"/>
      <x:c r="R138" s="34"/>
    </x:row>
    <x:row r="139" ht="28" customHeight="1">
      <x:c r="A139" s="37" t="str">
        <x:v>Classes →</x:v>
      </x:c>
      <x:c r="B139" s="37" t="str">
        <x:v>Nível</x:v>
      </x:c>
      <x:c r="C139" s="37" t="str">
        <x:v>Regra vertical</x:v>
      </x:c>
      <x:c r="D139" s="37" t="str">
        <x:v>XXXI</x:v>
      </x:c>
      <x:c r="E139" s="37" t="str">
        <x:v>XXXII</x:v>
      </x:c>
      <x:c r="F139" s="37" t="str">
        <x:v>XXXIII</x:v>
      </x:c>
      <x:c r="G139" s="37" t="str">
        <x:v>XXXIV</x:v>
      </x:c>
      <x:c r="H139" s="37" t="str">
        <x:v>XXXV</x:v>
      </x:c>
      <x:c r="I139" s="37" t="str">
        <x:v>XXXVI</x:v>
      </x:c>
      <x:c r="J139" s="37" t="str">
        <x:v>XXXVII</x:v>
      </x:c>
      <x:c r="K139" s="37" t="str">
        <x:v>XXXVIII</x:v>
      </x:c>
      <x:c r="L139" s="37" t="str">
        <x:v>XXXIX</x:v>
      </x:c>
      <x:c r="M139" s="37" t="str">
        <x:v>XL</x:v>
      </x:c>
      <x:c r="N139" s="37" t="str">
        <x:v>XLI</x:v>
      </x:c>
      <x:c r="O139" s="37" t="str">
        <x:v>XLII</x:v>
      </x:c>
      <x:c r="P139" s="37" t="str">
        <x:v>XLIII</x:v>
      </x:c>
      <x:c r="Q139" s="37" t="str">
        <x:v>XLIV</x:v>
      </x:c>
      <x:c r="R139" s="37" t="str">
        <x:v>XLV</x:v>
      </x:c>
    </x:row>
    <x:row r="140" ht="26" customHeight="1">
      <x:c r="A140" s="2" t="str">
        <x:v>Níveis ↓</x:v>
      </x:c>
      <x:c r="B140" s="2" t="str">
        <x:v>I</x:v>
      </x:c>
      <x:c r="C140" s="2" t="str">
        <x:v>Base</x:v>
      </x:c>
      <x:c r="D140" s="4" t="n">
        <x:f>IF('Parâmetros'!$B$12="truncar",ROUNDDOWN(R84*(1+'Parâmetros'!C56/100),2),ROUND(R84*(1+'Parâmetros'!C56/100),2))</x:f>
        <x:v>5242.31</x:v>
      </x:c>
      <x:c r="E140" s="4" t="n">
        <x:f>IF('Parâmetros'!$B$12="truncar",ROUNDDOWN(D140*(1+'Parâmetros'!C57/100),2),ROUND(D140*(1+'Parâmetros'!C57/100),2))</x:f>
        <x:v>5389.09</x:v>
      </x:c>
      <x:c r="F140" s="4" t="n">
        <x:f>IF('Parâmetros'!$B$12="truncar",ROUNDDOWN(E140*(1+'Parâmetros'!C58/100),2),ROUND(E140*(1+'Parâmetros'!C58/100),2))</x:f>
        <x:v>5539.98</x:v>
      </x:c>
      <x:c r="G140" s="4" t="n">
        <x:f>IF('Parâmetros'!$B$12="truncar",ROUNDDOWN(F140*(1+'Parâmetros'!C59/100),2),ROUND(F140*(1+'Parâmetros'!C59/100),2))</x:f>
        <x:v>5695.1</x:v>
      </x:c>
      <x:c r="H140" s="4" t="n">
        <x:f>IF('Parâmetros'!$B$12="truncar",ROUNDDOWN(G140*(1+'Parâmetros'!C60/100),2),ROUND(G140*(1+'Parâmetros'!C60/100),2))</x:f>
        <x:v>5854.56</x:v>
      </x:c>
      <x:c r="I140" s="4" t="n">
        <x:f>IF('Parâmetros'!$B$12="truncar",ROUNDDOWN(H140*(1+'Parâmetros'!C61/100),2),ROUND(H140*(1+'Parâmetros'!C61/100),2))</x:f>
        <x:v>6018.49</x:v>
      </x:c>
      <x:c r="J140" s="4" t="n">
        <x:f>IF('Parâmetros'!$B$12="truncar",ROUNDDOWN(I140*(1+'Parâmetros'!C62/100),2),ROUND(I140*(1+'Parâmetros'!C62/100),2))</x:f>
        <x:v>6187.01</x:v>
      </x:c>
      <x:c r="K140" s="4" t="n">
        <x:f>IF('Parâmetros'!$B$12="truncar",ROUNDDOWN(J140*(1+'Parâmetros'!C63/100),2),ROUND(J140*(1+'Parâmetros'!C63/100),2))</x:f>
        <x:v>6360.25</x:v>
      </x:c>
      <x:c r="L140" s="4" t="n">
        <x:f>IF('Parâmetros'!$B$12="truncar",ROUNDDOWN(K140*(1+'Parâmetros'!C64/100),2),ROUND(K140*(1+'Parâmetros'!C64/100),2))</x:f>
        <x:v>6538.34</x:v>
      </x:c>
      <x:c r="M140" s="4" t="n">
        <x:f>IF('Parâmetros'!$B$12="truncar",ROUNDDOWN(L140*(1+'Parâmetros'!C65/100),2),ROUND(L140*(1+'Parâmetros'!C65/100),2))</x:f>
        <x:v>6721.41</x:v>
      </x:c>
      <x:c r="N140" s="4" t="n">
        <x:f>IF('Parâmetros'!$B$12="truncar",ROUNDDOWN(M140*(1+'Parâmetros'!C66/100),2),ROUND(M140*(1+'Parâmetros'!C66/100),2))</x:f>
        <x:v>6909.61</x:v>
      </x:c>
      <x:c r="O140" s="4" t="n">
        <x:f>IF('Parâmetros'!$B$12="truncar",ROUNDDOWN(N140*(1+'Parâmetros'!C67/100),2),ROUND(N140*(1+'Parâmetros'!C67/100),2))</x:f>
        <x:v>7103.08</x:v>
      </x:c>
      <x:c r="P140" s="4" t="n">
        <x:f>IF('Parâmetros'!$B$12="truncar",ROUNDDOWN(O140*(1+'Parâmetros'!C68/100),2),ROUND(O140*(1+'Parâmetros'!C68/100),2))</x:f>
        <x:v>7301.97</x:v>
      </x:c>
      <x:c r="Q140" s="4" t="n">
        <x:f>IF('Parâmetros'!$B$12="truncar",ROUNDDOWN(P140*(1+'Parâmetros'!C69/100),2),ROUND(P140*(1+'Parâmetros'!C69/100),2))</x:f>
        <x:v>7506.43</x:v>
      </x:c>
      <x:c r="R140" s="4" t="n">
        <x:f>IF('Parâmetros'!$B$12="truncar",ROUNDDOWN(Q140*(1+'Parâmetros'!C70/100),2),ROUND(Q140*(1+'Parâmetros'!C70/100),2))</x:f>
        <x:v>7716.61</x:v>
      </x:c>
    </x:row>
    <x:row r="141" ht="26" customHeight="1">
      <x:c r="A141" s="2"/>
      <x:c r="B141" s="35" t="str">
        <x:v>II</x:v>
      </x:c>
      <x:c r="C141" s="38" t="str">
        <x:f> "+"&amp;TEXT('Parâmetros'!D20,"0.00")&amp;IF('Parâmetros'!C20="valor_fixo"," R$ / ","% / ")&amp;'Parâmetros'!E20</x:f>
        <x:v>+15.00% / I</x:v>
      </x:c>
      <x:c r="D141" s="39" t="n">
        <x:f>IF('Parâmetros'!$B$12="truncar",ROUNDDOWN(R85*(1+'Parâmetros'!C56/100),2),ROUND(R85*(1+'Parâmetros'!C56/100),2))</x:f>
        <x:v>6028.72</x:v>
      </x:c>
      <x:c r="E141" s="39" t="n">
        <x:f>IF('Parâmetros'!$B$12="truncar",ROUNDDOWN(D141*(1+'Parâmetros'!C57/100),2),ROUND(D141*(1+'Parâmetros'!C57/100),2))</x:f>
        <x:v>6197.52</x:v>
      </x:c>
      <x:c r="F141" s="39" t="n">
        <x:f>IF('Parâmetros'!$B$12="truncar",ROUNDDOWN(E141*(1+'Parâmetros'!C58/100),2),ROUND(E141*(1+'Parâmetros'!C58/100),2))</x:f>
        <x:v>6371.05</x:v>
      </x:c>
      <x:c r="G141" s="39" t="n">
        <x:f>IF('Parâmetros'!$B$12="truncar",ROUNDDOWN(F141*(1+'Parâmetros'!C59/100),2),ROUND(F141*(1+'Parâmetros'!C59/100),2))</x:f>
        <x:v>6549.44</x:v>
      </x:c>
      <x:c r="H141" s="39" t="n">
        <x:f>IF('Parâmetros'!$B$12="truncar",ROUNDDOWN(G141*(1+'Parâmetros'!C60/100),2),ROUND(G141*(1+'Parâmetros'!C60/100),2))</x:f>
        <x:v>6732.82</x:v>
      </x:c>
      <x:c r="I141" s="39" t="n">
        <x:f>IF('Parâmetros'!$B$12="truncar",ROUNDDOWN(H141*(1+'Parâmetros'!C61/100),2),ROUND(H141*(1+'Parâmetros'!C61/100),2))</x:f>
        <x:v>6921.34</x:v>
      </x:c>
      <x:c r="J141" s="39" t="n">
        <x:f>IF('Parâmetros'!$B$12="truncar",ROUNDDOWN(I141*(1+'Parâmetros'!C62/100),2),ROUND(I141*(1+'Parâmetros'!C62/100),2))</x:f>
        <x:v>7115.14</x:v>
      </x:c>
      <x:c r="K141" s="39" t="n">
        <x:f>IF('Parâmetros'!$B$12="truncar",ROUNDDOWN(J141*(1+'Parâmetros'!C63/100),2),ROUND(J141*(1+'Parâmetros'!C63/100),2))</x:f>
        <x:v>7314.36</x:v>
      </x:c>
      <x:c r="L141" s="39" t="n">
        <x:f>IF('Parâmetros'!$B$12="truncar",ROUNDDOWN(K141*(1+'Parâmetros'!C64/100),2),ROUND(K141*(1+'Parâmetros'!C64/100),2))</x:f>
        <x:v>7519.16</x:v>
      </x:c>
      <x:c r="M141" s="39" t="n">
        <x:f>IF('Parâmetros'!$B$12="truncar",ROUNDDOWN(L141*(1+'Parâmetros'!C65/100),2),ROUND(L141*(1+'Parâmetros'!C65/100),2))</x:f>
        <x:v>7729.7</x:v>
      </x:c>
      <x:c r="N141" s="39" t="n">
        <x:f>IF('Parâmetros'!$B$12="truncar",ROUNDDOWN(M141*(1+'Parâmetros'!C66/100),2),ROUND(M141*(1+'Parâmetros'!C66/100),2))</x:f>
        <x:v>7946.13</x:v>
      </x:c>
      <x:c r="O141" s="39" t="n">
        <x:f>IF('Parâmetros'!$B$12="truncar",ROUNDDOWN(N141*(1+'Parâmetros'!C67/100),2),ROUND(N141*(1+'Parâmetros'!C67/100),2))</x:f>
        <x:v>8168.62</x:v>
      </x:c>
      <x:c r="P141" s="39" t="n">
        <x:f>IF('Parâmetros'!$B$12="truncar",ROUNDDOWN(O141*(1+'Parâmetros'!C68/100),2),ROUND(O141*(1+'Parâmetros'!C68/100),2))</x:f>
        <x:v>8397.34</x:v>
      </x:c>
      <x:c r="Q141" s="39" t="n">
        <x:f>IF('Parâmetros'!$B$12="truncar",ROUNDDOWN(P141*(1+'Parâmetros'!C69/100),2),ROUND(P141*(1+'Parâmetros'!C69/100),2))</x:f>
        <x:v>8632.47</x:v>
      </x:c>
      <x:c r="R141" s="39" t="n">
        <x:f>IF('Parâmetros'!$B$12="truncar",ROUNDDOWN(Q141*(1+'Parâmetros'!C70/100),2),ROUND(Q141*(1+'Parâmetros'!C70/100),2))</x:f>
        <x:v>8874.18</x:v>
      </x:c>
    </x:row>
    <x:row r="142" ht="26" customHeight="1">
      <x:c r="A142" s="2"/>
      <x:c r="B142" s="2" t="str">
        <x:v>III</x:v>
      </x:c>
      <x:c r="C142" s="7" t="str">
        <x:f> "+"&amp;TEXT('Parâmetros'!D21,"0.00")&amp;IF('Parâmetros'!C21="valor_fixo"," R$ / ","% / ")&amp;'Parâmetros'!E21</x:f>
        <x:v>+15.00% / II</x:v>
      </x:c>
      <x:c r="D142" s="4" t="n">
        <x:f>IF('Parâmetros'!$B$12="truncar",ROUNDDOWN(R86*(1+'Parâmetros'!C56/100),2),ROUND(R86*(1+'Parâmetros'!C56/100),2))</x:f>
        <x:v>6933.01</x:v>
      </x:c>
      <x:c r="E142" s="4" t="n">
        <x:f>IF('Parâmetros'!$B$12="truncar",ROUNDDOWN(D142*(1+'Parâmetros'!C57/100),2),ROUND(D142*(1+'Parâmetros'!C57/100),2))</x:f>
        <x:v>7127.13</x:v>
      </x:c>
      <x:c r="F142" s="4" t="n">
        <x:f>IF('Parâmetros'!$B$12="truncar",ROUNDDOWN(E142*(1+'Parâmetros'!C58/100),2),ROUND(E142*(1+'Parâmetros'!C58/100),2))</x:f>
        <x:v>7326.69</x:v>
      </x:c>
      <x:c r="G142" s="4" t="n">
        <x:f>IF('Parâmetros'!$B$12="truncar",ROUNDDOWN(F142*(1+'Parâmetros'!C59/100),2),ROUND(F142*(1+'Parâmetros'!C59/100),2))</x:f>
        <x:v>7531.84</x:v>
      </x:c>
      <x:c r="H142" s="4" t="n">
        <x:f>IF('Parâmetros'!$B$12="truncar",ROUNDDOWN(G142*(1+'Parâmetros'!C60/100),2),ROUND(G142*(1+'Parâmetros'!C60/100),2))</x:f>
        <x:v>7742.73</x:v>
      </x:c>
      <x:c r="I142" s="4" t="n">
        <x:f>IF('Parâmetros'!$B$12="truncar",ROUNDDOWN(H142*(1+'Parâmetros'!C61/100),2),ROUND(H142*(1+'Parâmetros'!C61/100),2))</x:f>
        <x:v>7959.53</x:v>
      </x:c>
      <x:c r="J142" s="4" t="n">
        <x:f>IF('Parâmetros'!$B$12="truncar",ROUNDDOWN(I142*(1+'Parâmetros'!C62/100),2),ROUND(I142*(1+'Parâmetros'!C62/100),2))</x:f>
        <x:v>8182.4</x:v>
      </x:c>
      <x:c r="K142" s="4" t="n">
        <x:f>IF('Parâmetros'!$B$12="truncar",ROUNDDOWN(J142*(1+'Parâmetros'!C63/100),2),ROUND(J142*(1+'Parâmetros'!C63/100),2))</x:f>
        <x:v>8411.51</x:v>
      </x:c>
      <x:c r="L142" s="4" t="n">
        <x:f>IF('Parâmetros'!$B$12="truncar",ROUNDDOWN(K142*(1+'Parâmetros'!C64/100),2),ROUND(K142*(1+'Parâmetros'!C64/100),2))</x:f>
        <x:v>8647.03</x:v>
      </x:c>
      <x:c r="M142" s="4" t="n">
        <x:f>IF('Parâmetros'!$B$12="truncar",ROUNDDOWN(L142*(1+'Parâmetros'!C65/100),2),ROUND(L142*(1+'Parâmetros'!C65/100),2))</x:f>
        <x:v>8889.15</x:v>
      </x:c>
      <x:c r="N142" s="4" t="n">
        <x:f>IF('Parâmetros'!$B$12="truncar",ROUNDDOWN(M142*(1+'Parâmetros'!C66/100),2),ROUND(M142*(1+'Parâmetros'!C66/100),2))</x:f>
        <x:v>9138.05</x:v>
      </x:c>
      <x:c r="O142" s="4" t="n">
        <x:f>IF('Parâmetros'!$B$12="truncar",ROUNDDOWN(N142*(1+'Parâmetros'!C67/100),2),ROUND(N142*(1+'Parâmetros'!C67/100),2))</x:f>
        <x:v>9393.92</x:v>
      </x:c>
      <x:c r="P142" s="4" t="n">
        <x:f>IF('Parâmetros'!$B$12="truncar",ROUNDDOWN(O142*(1+'Parâmetros'!C68/100),2),ROUND(O142*(1+'Parâmetros'!C68/100),2))</x:f>
        <x:v>9656.95</x:v>
      </x:c>
      <x:c r="Q142" s="4" t="n">
        <x:f>IF('Parâmetros'!$B$12="truncar",ROUNDDOWN(P142*(1+'Parâmetros'!C69/100),2),ROUND(P142*(1+'Parâmetros'!C69/100),2))</x:f>
        <x:v>9927.34</x:v>
      </x:c>
      <x:c r="R142" s="4" t="n">
        <x:f>IF('Parâmetros'!$B$12="truncar",ROUNDDOWN(Q142*(1+'Parâmetros'!C70/100),2),ROUND(Q142*(1+'Parâmetros'!C70/100),2))</x:f>
        <x:v>10205.31</x:v>
      </x:c>
    </x:row>
    <x:row r="143" ht="26" customHeight="1">
      <x:c r="A143" s="40"/>
      <x:c r="B143" s="41" t="str">
        <x:v>IV</x:v>
      </x:c>
      <x:c r="C143" s="42" t="str">
        <x:f> "+"&amp;TEXT('Parâmetros'!D22,"0.00")&amp;IF('Parâmetros'!C22="valor_fixo"," R$ / ","% / ")&amp;'Parâmetros'!E22</x:f>
        <x:v>+15.00% / III</x:v>
      </x:c>
      <x:c r="D143" s="43" t="n">
        <x:f>IF('Parâmetros'!$B$12="truncar",ROUNDDOWN(R87*(1+'Parâmetros'!C56/100),2),ROUND(R87*(1+'Parâmetros'!C56/100),2))</x:f>
        <x:v>7972.96</x:v>
      </x:c>
      <x:c r="E143" s="43" t="n">
        <x:f>IF('Parâmetros'!$B$12="truncar",ROUNDDOWN(D143*(1+'Parâmetros'!C57/100),2),ROUND(D143*(1+'Parâmetros'!C57/100),2))</x:f>
        <x:v>8196.2</x:v>
      </x:c>
      <x:c r="F143" s="43" t="n">
        <x:f>IF('Parâmetros'!$B$12="truncar",ROUNDDOWN(E143*(1+'Parâmetros'!C58/100),2),ROUND(E143*(1+'Parâmetros'!C58/100),2))</x:f>
        <x:v>8425.69</x:v>
      </x:c>
      <x:c r="G143" s="43" t="n">
        <x:f>IF('Parâmetros'!$B$12="truncar",ROUNDDOWN(F143*(1+'Parâmetros'!C59/100),2),ROUND(F143*(1+'Parâmetros'!C59/100),2))</x:f>
        <x:v>8661.61</x:v>
      </x:c>
      <x:c r="H143" s="43" t="n">
        <x:f>IF('Parâmetros'!$B$12="truncar",ROUNDDOWN(G143*(1+'Parâmetros'!C60/100),2),ROUND(G143*(1+'Parâmetros'!C60/100),2))</x:f>
        <x:v>8904.14</x:v>
      </x:c>
      <x:c r="I143" s="43" t="n">
        <x:f>IF('Parâmetros'!$B$12="truncar",ROUNDDOWN(H143*(1+'Parâmetros'!C61/100),2),ROUND(H143*(1+'Parâmetros'!C61/100),2))</x:f>
        <x:v>9153.46</x:v>
      </x:c>
      <x:c r="J143" s="43" t="n">
        <x:f>IF('Parâmetros'!$B$12="truncar",ROUNDDOWN(I143*(1+'Parâmetros'!C62/100),2),ROUND(I143*(1+'Parâmetros'!C62/100),2))</x:f>
        <x:v>9409.76</x:v>
      </x:c>
      <x:c r="K143" s="43" t="n">
        <x:f>IF('Parâmetros'!$B$12="truncar",ROUNDDOWN(J143*(1+'Parâmetros'!C63/100),2),ROUND(J143*(1+'Parâmetros'!C63/100),2))</x:f>
        <x:v>9673.23</x:v>
      </x:c>
      <x:c r="L143" s="43" t="n">
        <x:f>IF('Parâmetros'!$B$12="truncar",ROUNDDOWN(K143*(1+'Parâmetros'!C64/100),2),ROUND(K143*(1+'Parâmetros'!C64/100),2))</x:f>
        <x:v>9944.08</x:v>
      </x:c>
      <x:c r="M143" s="43" t="n">
        <x:f>IF('Parâmetros'!$B$12="truncar",ROUNDDOWN(L143*(1+'Parâmetros'!C65/100),2),ROUND(L143*(1+'Parâmetros'!C65/100),2))</x:f>
        <x:v>10222.51</x:v>
      </x:c>
      <x:c r="N143" s="43" t="n">
        <x:f>IF('Parâmetros'!$B$12="truncar",ROUNDDOWN(M143*(1+'Parâmetros'!C66/100),2),ROUND(M143*(1+'Parâmetros'!C66/100),2))</x:f>
        <x:v>10508.74</x:v>
      </x:c>
      <x:c r="O143" s="43" t="n">
        <x:f>IF('Parâmetros'!$B$12="truncar",ROUNDDOWN(N143*(1+'Parâmetros'!C67/100),2),ROUND(N143*(1+'Parâmetros'!C67/100),2))</x:f>
        <x:v>10802.98</x:v>
      </x:c>
      <x:c r="P143" s="43" t="n">
        <x:f>IF('Parâmetros'!$B$12="truncar",ROUNDDOWN(O143*(1+'Parâmetros'!C68/100),2),ROUND(O143*(1+'Parâmetros'!C68/100),2))</x:f>
        <x:v>11105.46</x:v>
      </x:c>
      <x:c r="Q143" s="43" t="n">
        <x:f>IF('Parâmetros'!$B$12="truncar",ROUNDDOWN(P143*(1+'Parâmetros'!C69/100),2),ROUND(P143*(1+'Parâmetros'!C69/100),2))</x:f>
        <x:v>11416.41</x:v>
      </x:c>
      <x:c r="R143" s="43" t="n">
        <x:f>IF('Parâmetros'!$B$12="truncar",ROUNDDOWN(Q143*(1+'Parâmetros'!C70/100),2),ROUND(Q143*(1+'Parâmetros'!C70/100),2))</x:f>
        <x:v>11736.07</x:v>
      </x:c>
    </x:row>
    <x:row r="144" ht="22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</x:row>
    <x:row r="145" ht="22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</x:row>
    <x:row r="146" ht="35" customHeight="1">
      <x:c r="A146" s="12" t="str">
        <x:f>"Neste bloco: "&amp;SUMPRODUCT(--(D131:R134&lt;D140:R143))&amp;" vencimentos abaixo da referência de carreira; "&amp;COUNTIF(D131:R134,"&lt;"&amp;$D$4)&amp;" abaixo da base inicial (em vermelho)."</x:f>
        <x:v>Neste bloco: 60 vencimentos abaixo da referência de carreira; 0 abaixo da base inicial (em vermelho).</x:v>
      </x:c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</x:row>
    <x:row r="147" ht="22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</x:row>
    <x:row r="148" ht="28" customHeight="1">
      <x:c r="A148" s="14" t="str">
        <x:v>NÃO CONFORMIDADES EM RELAÇÃO À REFERÊNCIA</x:v>
      </x:c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  <x:c r="R148" s="14"/>
    </x:row>
    <x:row r="149" ht="24" customHeight="1">
      <x:c r="A149" s="16" t="str">
        <x:v>AUXILIAR ADMINISTRATIVO OPERACIONAL — 40 HORAS</x:v>
      </x:c>
      <x:c r="B149" s="16"/>
      <x:c r="C149" s="16"/>
      <x:c r="D149" s="16"/>
      <x:c r="E149" s="16"/>
      <x:c r="F149" s="16"/>
      <x:c r="G149" s="16"/>
      <x:c r="H149" s="16"/>
      <x:c r="I149" s="16"/>
      <x:c r="J149" s="16"/>
      <x:c r="K149" s="16"/>
      <x:c r="L149" s="16"/>
      <x:c r="M149" s="16"/>
      <x:c r="N149" s="16"/>
      <x:c r="O149" s="16"/>
      <x:c r="P149" s="16"/>
      <x:c r="Q149" s="16"/>
      <x:c r="R149" s="16"/>
    </x:row>
    <x:row r="150" ht="28" customHeight="1">
      <x:c r="A150" s="19" t="str">
        <x:v>Classes →</x:v>
      </x:c>
      <x:c r="B150" s="19" t="str">
        <x:v>Nível</x:v>
      </x:c>
      <x:c r="C150" s="19" t="str">
        <x:v>Regra vertical</x:v>
      </x:c>
      <x:c r="D150" s="19" t="str">
        <x:v>XXXI</x:v>
      </x:c>
      <x:c r="E150" s="19" t="str">
        <x:v>XXXII</x:v>
      </x:c>
      <x:c r="F150" s="19" t="str">
        <x:v>XXXIII</x:v>
      </x:c>
      <x:c r="G150" s="19" t="str">
        <x:v>XXXIV</x:v>
      </x:c>
      <x:c r="H150" s="19" t="str">
        <x:v>XXXV</x:v>
      </x:c>
      <x:c r="I150" s="19" t="str">
        <x:v>XXXVI</x:v>
      </x:c>
      <x:c r="J150" s="19" t="str">
        <x:v>XXXVII</x:v>
      </x:c>
      <x:c r="K150" s="19" t="str">
        <x:v>XXXVIII</x:v>
      </x:c>
      <x:c r="L150" s="19" t="str">
        <x:v>XXXIX</x:v>
      </x:c>
      <x:c r="M150" s="19" t="str">
        <x:v>XL</x:v>
      </x:c>
      <x:c r="N150" s="19" t="str">
        <x:v>XLI</x:v>
      </x:c>
      <x:c r="O150" s="19" t="str">
        <x:v>XLII</x:v>
      </x:c>
      <x:c r="P150" s="19" t="str">
        <x:v>XLIII</x:v>
      </x:c>
      <x:c r="Q150" s="19" t="str">
        <x:v>XLIV</x:v>
      </x:c>
      <x:c r="R150" s="19" t="str">
        <x:v>XLV</x:v>
      </x:c>
    </x:row>
    <x:row r="151" ht="26" customHeight="1">
      <x:c r="A151" s="2" t="str">
        <x:v>Níveis ↓</x:v>
      </x:c>
      <x:c r="B151" s="2" t="str">
        <x:v>I</x:v>
      </x:c>
      <x:c r="C151" s="2" t="str">
        <x:v>Base</x:v>
      </x:c>
      <x:c r="D151" s="4" t="n">
        <x:f>'Dados originais'!AH4</x:f>
        <x:v>4992.73</x:v>
      </x:c>
      <x:c r="E151" s="4" t="n">
        <x:f>'Dados originais'!AI4</x:f>
        <x:v>5132.52</x:v>
      </x:c>
      <x:c r="F151" s="4" t="n">
        <x:f>'Dados originais'!AJ4</x:f>
        <x:v>5276.23</x:v>
      </x:c>
      <x:c r="G151" s="4" t="n">
        <x:f>'Dados originais'!AK4</x:f>
        <x:v>5423.97</x:v>
      </x:c>
      <x:c r="H151" s="4" t="n">
        <x:f>'Dados originais'!AL4</x:f>
        <x:v>5575.84</x:v>
      </x:c>
      <x:c r="I151" s="4" t="n">
        <x:f>'Dados originais'!AM4</x:f>
        <x:v>5731.96</x:v>
      </x:c>
      <x:c r="J151" s="4" t="n">
        <x:f>'Dados originais'!AN4</x:f>
        <x:v>5892.46</x:v>
      </x:c>
      <x:c r="K151" s="4" t="n">
        <x:f>'Dados originais'!AO4</x:f>
        <x:v>6057.45</x:v>
      </x:c>
      <x:c r="L151" s="4" t="n">
        <x:f>'Dados originais'!AP4</x:f>
        <x:v>6227.05</x:v>
      </x:c>
      <x:c r="M151" s="4" t="n">
        <x:f>'Dados originais'!AQ4</x:f>
        <x:v>6401.41</x:v>
      </x:c>
      <x:c r="N151" s="4" t="n">
        <x:f>'Dados originais'!AR4</x:f>
        <x:v>6580.65</x:v>
      </x:c>
      <x:c r="O151" s="4" t="n">
        <x:f>'Dados originais'!AS4</x:f>
        <x:v>6764.91</x:v>
      </x:c>
      <x:c r="P151" s="4" t="n">
        <x:f>'Dados originais'!AT4</x:f>
        <x:v>6954.33</x:v>
      </x:c>
      <x:c r="Q151" s="4" t="n">
        <x:f>'Dados originais'!AU4</x:f>
        <x:v>7149.05</x:v>
      </x:c>
      <x:c r="R151" s="4" t="n">
        <x:f>'Dados originais'!AV4</x:f>
        <x:v>7349.22</x:v>
      </x:c>
    </x:row>
    <x:row r="152" ht="26" customHeight="1">
      <x:c r="A152" s="2"/>
      <x:c r="B152" s="17" t="str">
        <x:v>II</x:v>
      </x:c>
      <x:c r="C152" s="20" t="str">
        <x:f> "+"&amp;TEXT('Parâmetros'!D20,"0.00")&amp;IF('Parâmetros'!C20="valor_fixo"," R$ / ","% / ")&amp;'Parâmetros'!E20</x:f>
        <x:v>+15.00% / I</x:v>
      </x:c>
      <x:c r="D152" s="28" t="n">
        <x:f>'Dados originais'!AH5</x:f>
        <x:v>5741.63</x:v>
      </x:c>
      <x:c r="E152" s="28" t="n">
        <x:f>'Dados originais'!AI5</x:f>
        <x:v>5902.4</x:v>
      </x:c>
      <x:c r="F152" s="28" t="n">
        <x:f>'Dados originais'!AJ5</x:f>
        <x:v>6067.67</x:v>
      </x:c>
      <x:c r="G152" s="28" t="n">
        <x:f>'Dados originais'!AK5</x:f>
        <x:v>6237.56</x:v>
      </x:c>
      <x:c r="H152" s="28" t="n">
        <x:f>'Dados originais'!AL5</x:f>
        <x:v>6412.21</x:v>
      </x:c>
      <x:c r="I152" s="28" t="n">
        <x:f>'Dados originais'!AM5</x:f>
        <x:v>6591.76</x:v>
      </x:c>
      <x:c r="J152" s="28" t="n">
        <x:f>'Dados originais'!AN5</x:f>
        <x:v>6776.32</x:v>
      </x:c>
      <x:c r="K152" s="28" t="n">
        <x:f>'Dados originais'!AO5</x:f>
        <x:v>6966.06</x:v>
      </x:c>
      <x:c r="L152" s="28" t="n">
        <x:f>'Dados originais'!AP5</x:f>
        <x:v>7161.11</x:v>
      </x:c>
      <x:c r="M152" s="28" t="n">
        <x:f>'Dados originais'!AQ5</x:f>
        <x:v>7361.62</x:v>
      </x:c>
      <x:c r="N152" s="28" t="n">
        <x:f>'Dados originais'!AR5</x:f>
        <x:v>7567.75</x:v>
      </x:c>
      <x:c r="O152" s="28" t="n">
        <x:f>'Dados originais'!AS5</x:f>
        <x:v>7779.65</x:v>
      </x:c>
      <x:c r="P152" s="28" t="n">
        <x:f>'Dados originais'!AT5</x:f>
        <x:v>7997.48</x:v>
      </x:c>
      <x:c r="Q152" s="28" t="n">
        <x:f>'Dados originais'!AU5</x:f>
        <x:v>8221.4</x:v>
      </x:c>
      <x:c r="R152" s="28" t="n">
        <x:f>'Dados originais'!AV5</x:f>
        <x:v>8451.6</x:v>
      </x:c>
    </x:row>
    <x:row r="153" ht="26" customHeight="1">
      <x:c r="A153" s="2"/>
      <x:c r="B153" s="2" t="str">
        <x:v>III</x:v>
      </x:c>
      <x:c r="C153" s="7" t="str">
        <x:f> "+"&amp;TEXT('Parâmetros'!D21,"0.00")&amp;IF('Parâmetros'!C21="valor_fixo"," R$ / ","% / ")&amp;'Parâmetros'!E21</x:f>
        <x:v>+15.00% / II</x:v>
      </x:c>
      <x:c r="D153" s="4" t="n">
        <x:f>'Dados originais'!AH6</x:f>
        <x:v>6602.88</x:v>
      </x:c>
      <x:c r="E153" s="4" t="n">
        <x:f>'Dados originais'!AI6</x:f>
        <x:v>6787.76</x:v>
      </x:c>
      <x:c r="F153" s="4" t="n">
        <x:f>'Dados originais'!AJ6</x:f>
        <x:v>6977.82</x:v>
      </x:c>
      <x:c r="G153" s="4" t="n">
        <x:f>'Dados originais'!AK6</x:f>
        <x:v>7173.2</x:v>
      </x:c>
      <x:c r="H153" s="4" t="n">
        <x:f>'Dados originais'!AL6</x:f>
        <x:v>7374.05</x:v>
      </x:c>
      <x:c r="I153" s="4" t="n">
        <x:f>'Dados originais'!AM6</x:f>
        <x:v>7580.52</x:v>
      </x:c>
      <x:c r="J153" s="4" t="n">
        <x:f>'Dados originais'!AN6</x:f>
        <x:v>7792.77</x:v>
      </x:c>
      <x:c r="K153" s="4" t="n">
        <x:f>'Dados originais'!AO6</x:f>
        <x:v>8010.97</x:v>
      </x:c>
      <x:c r="L153" s="4" t="n">
        <x:f>'Dados originais'!AP6</x:f>
        <x:v>8235.28</x:v>
      </x:c>
      <x:c r="M153" s="4" t="n">
        <x:f>'Dados originais'!AQ6</x:f>
        <x:v>8465.87</x:v>
      </x:c>
      <x:c r="N153" s="4" t="n">
        <x:f>'Dados originais'!AR6</x:f>
        <x:v>8702.91</x:v>
      </x:c>
      <x:c r="O153" s="4" t="n">
        <x:f>'Dados originais'!AS6</x:f>
        <x:v>8946.59</x:v>
      </x:c>
      <x:c r="P153" s="4" t="n">
        <x:f>'Dados originais'!AT6</x:f>
        <x:v>9197.1</x:v>
      </x:c>
      <x:c r="Q153" s="4" t="n">
        <x:f>'Dados originais'!AU6</x:f>
        <x:v>9454.62</x:v>
      </x:c>
      <x:c r="R153" s="4" t="n">
        <x:f>'Dados originais'!AV6</x:f>
        <x:v>9719.35</x:v>
      </x:c>
    </x:row>
    <x:row r="154" ht="26" customHeight="1">
      <x:c r="A154" s="23"/>
      <x:c r="B154" s="24" t="str">
        <x:v>IV</x:v>
      </x:c>
      <x:c r="C154" s="25" t="str">
        <x:f> "+"&amp;TEXT('Parâmetros'!D22,"0.00")&amp;IF('Parâmetros'!C22="valor_fixo"," R$ / ","% / ")&amp;'Parâmetros'!E22</x:f>
        <x:v>+15.00% / III</x:v>
      </x:c>
      <x:c r="D154" s="29" t="n">
        <x:f>'Dados originais'!AH7</x:f>
        <x:v>7593.31</x:v>
      </x:c>
      <x:c r="E154" s="29" t="n">
        <x:f>'Dados originais'!AI7</x:f>
        <x:v>7805.92</x:v>
      </x:c>
      <x:c r="F154" s="29" t="n">
        <x:f>'Dados originais'!AJ7</x:f>
        <x:v>8024.49</x:v>
      </x:c>
      <x:c r="G154" s="29" t="n">
        <x:f>'Dados originais'!AK7</x:f>
        <x:v>8249.18</x:v>
      </x:c>
      <x:c r="H154" s="29" t="n">
        <x:f>'Dados originais'!AL7</x:f>
        <x:v>8480.15</x:v>
      </x:c>
      <x:c r="I154" s="29" t="n">
        <x:f>'Dados originais'!AM7</x:f>
        <x:v>8717.6</x:v>
      </x:c>
      <x:c r="J154" s="29" t="n">
        <x:f>'Dados originais'!AN7</x:f>
        <x:v>8961.69</x:v>
      </x:c>
      <x:c r="K154" s="29" t="n">
        <x:f>'Dados originais'!AO7</x:f>
        <x:v>9212.62</x:v>
      </x:c>
      <x:c r="L154" s="29" t="n">
        <x:f>'Dados originais'!AP7</x:f>
        <x:v>9470.57</x:v>
      </x:c>
      <x:c r="M154" s="29" t="n">
        <x:f>'Dados originais'!AQ7</x:f>
        <x:v>9735.75</x:v>
      </x:c>
      <x:c r="N154" s="29" t="n">
        <x:f>'Dados originais'!AR7</x:f>
        <x:v>10008.35</x:v>
      </x:c>
      <x:c r="O154" s="29" t="n">
        <x:f>'Dados originais'!AS7</x:f>
        <x:v>10288.58</x:v>
      </x:c>
      <x:c r="P154" s="29" t="n">
        <x:f>'Dados originais'!AT7</x:f>
        <x:v>10576.66</x:v>
      </x:c>
      <x:c r="Q154" s="29" t="n">
        <x:f>'Dados originais'!AU7</x:f>
        <x:v>10872.81</x:v>
      </x:c>
      <x:c r="R154" s="29" t="n">
        <x:f>'Dados originais'!AV7</x:f>
        <x:v>11177.25</x:v>
      </x:c>
    </x:row>
    <x:row r="155" ht="22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</x:row>
    <x:row r="156" ht="22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</x:row>
    <x:row r="157" ht="28" customHeight="1">
      <x:c r="A157" s="46" t="str">
        <x:v>• DEFASAGEM SALARIAL MENSAL •</x:v>
      </x:c>
      <x:c r="B157" s="46"/>
      <x:c r="C157" s="46"/>
      <x:c r="D157" s="46"/>
      <x:c r="E157" s="46"/>
      <x:c r="F157" s="46"/>
      <x:c r="G157" s="46"/>
      <x:c r="H157" s="46"/>
      <x:c r="I157" s="46"/>
      <x:c r="J157" s="46"/>
      <x:c r="K157" s="46"/>
      <x:c r="L157" s="46"/>
      <x:c r="M157" s="46"/>
      <x:c r="N157" s="46"/>
      <x:c r="O157" s="46"/>
      <x:c r="P157" s="46"/>
      <x:c r="Q157" s="46"/>
      <x:c r="R157" s="46"/>
    </x:row>
    <x:row r="158" ht="24" customHeight="1">
      <x:c r="A158" s="48" t="str">
        <x:v>AUXILIAR ADMINISTRATIVO OPERACIONAL — 40 HORAS</x:v>
      </x:c>
      <x:c r="B158" s="48"/>
      <x:c r="C158" s="48"/>
      <x:c r="D158" s="48"/>
      <x:c r="E158" s="48"/>
      <x:c r="F158" s="48"/>
      <x:c r="G158" s="48"/>
      <x:c r="H158" s="48"/>
      <x:c r="I158" s="48"/>
      <x:c r="J158" s="48"/>
      <x:c r="K158" s="48"/>
      <x:c r="L158" s="48"/>
      <x:c r="M158" s="48"/>
      <x:c r="N158" s="48"/>
      <x:c r="O158" s="48"/>
      <x:c r="P158" s="48"/>
      <x:c r="Q158" s="48"/>
      <x:c r="R158" s="48"/>
    </x:row>
    <x:row r="159" ht="28" customHeight="1">
      <x:c r="A159" s="51" t="str">
        <x:v>Classes →</x:v>
      </x:c>
      <x:c r="B159" s="51" t="str">
        <x:v>Nível</x:v>
      </x:c>
      <x:c r="C159" s="51" t="str">
        <x:v>Regra vertical</x:v>
      </x:c>
      <x:c r="D159" s="51" t="str">
        <x:v>XXXI</x:v>
      </x:c>
      <x:c r="E159" s="51" t="str">
        <x:v>XXXII</x:v>
      </x:c>
      <x:c r="F159" s="51" t="str">
        <x:v>XXXIII</x:v>
      </x:c>
      <x:c r="G159" s="51" t="str">
        <x:v>XXXIV</x:v>
      </x:c>
      <x:c r="H159" s="51" t="str">
        <x:v>XXXV</x:v>
      </x:c>
      <x:c r="I159" s="51" t="str">
        <x:v>XXXVI</x:v>
      </x:c>
      <x:c r="J159" s="51" t="str">
        <x:v>XXXVII</x:v>
      </x:c>
      <x:c r="K159" s="51" t="str">
        <x:v>XXXVIII</x:v>
      </x:c>
      <x:c r="L159" s="51" t="str">
        <x:v>XXXIX</x:v>
      </x:c>
      <x:c r="M159" s="51" t="str">
        <x:v>XL</x:v>
      </x:c>
      <x:c r="N159" s="51" t="str">
        <x:v>XLI</x:v>
      </x:c>
      <x:c r="O159" s="51" t="str">
        <x:v>XLII</x:v>
      </x:c>
      <x:c r="P159" s="51" t="str">
        <x:v>XLIII</x:v>
      </x:c>
      <x:c r="Q159" s="51" t="str">
        <x:v>XLIV</x:v>
      </x:c>
      <x:c r="R159" s="51" t="str">
        <x:v>XLV</x:v>
      </x:c>
    </x:row>
    <x:row r="160" ht="26" customHeight="1">
      <x:c r="A160" s="2" t="str">
        <x:v>Níveis ↓</x:v>
      </x:c>
      <x:c r="B160" s="2" t="str">
        <x:v>I</x:v>
      </x:c>
      <x:c r="C160" s="2" t="str">
        <x:v>Base</x:v>
      </x:c>
      <x:c r="D160" s="4" t="n">
        <x:f>D131-D140</x:f>
        <x:v>-249.58000000000084</x:v>
      </x:c>
      <x:c r="E160" s="4" t="n">
        <x:f>E131-E140</x:f>
        <x:v>-256.5699999999997</x:v>
      </x:c>
      <x:c r="F160" s="4" t="n">
        <x:f>F131-F140</x:f>
        <x:v>-263.75</x:v>
      </x:c>
      <x:c r="G160" s="4" t="n">
        <x:f>G131-G140</x:f>
        <x:v>-271.1300000000001</x:v>
      </x:c>
      <x:c r="H160" s="4" t="n">
        <x:f>H131-H140</x:f>
        <x:v>-278.72000000000025</x:v>
      </x:c>
      <x:c r="I160" s="4" t="n">
        <x:f>I131-I140</x:f>
        <x:v>-286.52999999999975</x:v>
      </x:c>
      <x:c r="J160" s="4" t="n">
        <x:f>J131-J140</x:f>
        <x:v>-294.5500000000002</x:v>
      </x:c>
      <x:c r="K160" s="4" t="n">
        <x:f>K131-K140</x:f>
        <x:v>-302.8000000000002</x:v>
      </x:c>
      <x:c r="L160" s="4" t="n">
        <x:f>L131-L140</x:f>
        <x:v>-311.28999999999996</x:v>
      </x:c>
      <x:c r="M160" s="4" t="n">
        <x:f>M131-M140</x:f>
        <x:v>-320</x:v>
      </x:c>
      <x:c r="N160" s="4" t="n">
        <x:f>N131-N140</x:f>
        <x:v>-328.96000000000004</x:v>
      </x:c>
      <x:c r="O160" s="4" t="n">
        <x:f>O131-O140</x:f>
        <x:v>-338.1700000000001</x:v>
      </x:c>
      <x:c r="P160" s="4" t="n">
        <x:f>P131-P140</x:f>
        <x:v>-347.6400000000003</x:v>
      </x:c>
      <x:c r="Q160" s="4" t="n">
        <x:f>Q131-Q140</x:f>
        <x:v>-357.3800000000001</x:v>
      </x:c>
      <x:c r="R160" s="4" t="n">
        <x:f>R131-R140</x:f>
        <x:v>-367.3899999999994</x:v>
      </x:c>
    </x:row>
    <x:row r="161" ht="26" customHeight="1">
      <x:c r="A161" s="2"/>
      <x:c r="B161" s="49" t="str">
        <x:v>II</x:v>
      </x:c>
      <x:c r="C161" s="52" t="str">
        <x:f> "+"&amp;TEXT('Parâmetros'!D20,"0.00")&amp;IF('Parâmetros'!C20="valor_fixo"," R$ / ","% / ")&amp;'Parâmetros'!E20</x:f>
        <x:v>+15.00% / I</x:v>
      </x:c>
      <x:c r="D161" s="53" t="n">
        <x:f>D132-D141</x:f>
        <x:v>-287.09000000000015</x:v>
      </x:c>
      <x:c r="E161" s="53" t="n">
        <x:f>E132-E141</x:f>
        <x:v>-295.1200000000008</x:v>
      </x:c>
      <x:c r="F161" s="53" t="n">
        <x:f>F132-F141</x:f>
        <x:v>-303.3800000000001</x:v>
      </x:c>
      <x:c r="G161" s="53" t="n">
        <x:f>G132-G141</x:f>
        <x:v>-311.8799999999992</x:v>
      </x:c>
      <x:c r="H161" s="53" t="n">
        <x:f>H132-H141</x:f>
        <x:v>-320.6099999999997</x:v>
      </x:c>
      <x:c r="I161" s="53" t="n">
        <x:f>I132-I141</x:f>
        <x:v>-329.5799999999999</x:v>
      </x:c>
      <x:c r="J161" s="53" t="n">
        <x:f>J132-J141</x:f>
        <x:v>-338.8200000000006</x:v>
      </x:c>
      <x:c r="K161" s="53" t="n">
        <x:f>K132-K141</x:f>
        <x:v>-348.2999999999993</x:v>
      </x:c>
      <x:c r="L161" s="53" t="n">
        <x:f>L132-L141</x:f>
        <x:v>-358.0500000000002</x:v>
      </x:c>
      <x:c r="M161" s="53" t="n">
        <x:f>M132-M141</x:f>
        <x:v>-368.0799999999999</x:v>
      </x:c>
      <x:c r="N161" s="53" t="n">
        <x:f>N132-N141</x:f>
        <x:v>-378.3800000000001</x:v>
      </x:c>
      <x:c r="O161" s="53" t="n">
        <x:f>O132-O141</x:f>
        <x:v>-388.97000000000025</x:v>
      </x:c>
      <x:c r="P161" s="53" t="n">
        <x:f>P132-P141</x:f>
        <x:v>-399.8600000000006</x:v>
      </x:c>
      <x:c r="Q161" s="53" t="n">
        <x:f>Q132-Q141</x:f>
        <x:v>-411.0699999999997</x:v>
      </x:c>
      <x:c r="R161" s="53" t="n">
        <x:f>R132-R141</x:f>
        <x:v>-422.5799999999999</x:v>
      </x:c>
    </x:row>
    <x:row r="162" ht="26" customHeight="1">
      <x:c r="A162" s="2"/>
      <x:c r="B162" s="2" t="str">
        <x:v>III</x:v>
      </x:c>
      <x:c r="C162" s="7" t="str">
        <x:f> "+"&amp;TEXT('Parâmetros'!D21,"0.00")&amp;IF('Parâmetros'!C21="valor_fixo"," R$ / ","% / ")&amp;'Parâmetros'!E21</x:f>
        <x:v>+15.00% / II</x:v>
      </x:c>
      <x:c r="D162" s="4" t="n">
        <x:f>D133-D142</x:f>
        <x:v>-330.1300000000001</x:v>
      </x:c>
      <x:c r="E162" s="4" t="n">
        <x:f>E133-E142</x:f>
        <x:v>-339.3699999999999</x:v>
      </x:c>
      <x:c r="F162" s="4" t="n">
        <x:f>F133-F142</x:f>
        <x:v>-348.8699999999999</x:v>
      </x:c>
      <x:c r="G162" s="4" t="n">
        <x:f>G133-G142</x:f>
        <x:v>-358.6400000000003</x:v>
      </x:c>
      <x:c r="H162" s="4" t="n">
        <x:f>H133-H142</x:f>
        <x:v>-368.6799999999994</x:v>
      </x:c>
      <x:c r="I162" s="4" t="n">
        <x:f>I133-I142</x:f>
        <x:v>-379.0099999999993</x:v>
      </x:c>
      <x:c r="J162" s="4" t="n">
        <x:f>J133-J142</x:f>
        <x:v>-389.6299999999992</x:v>
      </x:c>
      <x:c r="K162" s="4" t="n">
        <x:f>K133-K142</x:f>
        <x:v>-400.53999999999996</x:v>
      </x:c>
      <x:c r="L162" s="4" t="n">
        <x:f>L133-L142</x:f>
        <x:v>-411.75</x:v>
      </x:c>
      <x:c r="M162" s="4" t="n">
        <x:f>M133-M142</x:f>
        <x:v>-423.27999999999884</x:v>
      </x:c>
      <x:c r="N162" s="4" t="n">
        <x:f>N133-N142</x:f>
        <x:v>-435.1399999999994</x:v>
      </x:c>
      <x:c r="O162" s="4" t="n">
        <x:f>O133-O142</x:f>
        <x:v>-447.3299999999999</x:v>
      </x:c>
      <x:c r="P162" s="4" t="n">
        <x:f>P133-P142</x:f>
        <x:v>-459.85000000000036</x:v>
      </x:c>
      <x:c r="Q162" s="4" t="n">
        <x:f>Q133-Q142</x:f>
        <x:v>-472.71999999999935</x:v>
      </x:c>
      <x:c r="R162" s="4" t="n">
        <x:f>R133-R142</x:f>
        <x:v>-485.9599999999991</x:v>
      </x:c>
    </x:row>
    <x:row r="163" ht="26" customHeight="1">
      <x:c r="A163" s="54"/>
      <x:c r="B163" s="55" t="str">
        <x:v>IV</x:v>
      </x:c>
      <x:c r="C163" s="56" t="str">
        <x:f> "+"&amp;TEXT('Parâmetros'!D22,"0.00")&amp;IF('Parâmetros'!C22="valor_fixo"," R$ / ","% / ")&amp;'Parâmetros'!E22</x:f>
        <x:v>+15.00% / III</x:v>
      </x:c>
      <x:c r="D163" s="57" t="n">
        <x:f>D134-D143</x:f>
        <x:v>-379.64999999999964</x:v>
      </x:c>
      <x:c r="E163" s="57" t="n">
        <x:f>E134-E143</x:f>
        <x:v>-390.28000000000065</x:v>
      </x:c>
      <x:c r="F163" s="57" t="n">
        <x:f>F134-F143</x:f>
        <x:v>-401.2000000000007</x:v>
      </x:c>
      <x:c r="G163" s="57" t="n">
        <x:f>G134-G143</x:f>
        <x:v>-412.4300000000003</x:v>
      </x:c>
      <x:c r="H163" s="57" t="n">
        <x:f>H134-H143</x:f>
        <x:v>-423.9899999999998</x:v>
      </x:c>
      <x:c r="I163" s="57" t="n">
        <x:f>I134-I143</x:f>
        <x:v>-435.85999999999876</x:v>
      </x:c>
      <x:c r="J163" s="57" t="n">
        <x:f>J134-J143</x:f>
        <x:v>-448.0699999999997</x:v>
      </x:c>
      <x:c r="K163" s="57" t="n">
        <x:f>K134-K143</x:f>
        <x:v>-460.60999999999876</x:v>
      </x:c>
      <x:c r="L163" s="57" t="n">
        <x:f>L134-L143</x:f>
        <x:v>-473.5100000000002</x:v>
      </x:c>
      <x:c r="M163" s="57" t="n">
        <x:f>M134-M143</x:f>
        <x:v>-486.7600000000002</x:v>
      </x:c>
      <x:c r="N163" s="57" t="n">
        <x:f>N134-N143</x:f>
        <x:v>-500.3899999999994</x:v>
      </x:c>
      <x:c r="O163" s="57" t="n">
        <x:f>O134-O143</x:f>
        <x:v>-514.3999999999996</x:v>
      </x:c>
      <x:c r="P163" s="57" t="n">
        <x:f>P134-P143</x:f>
        <x:v>-528.7999999999993</x:v>
      </x:c>
      <x:c r="Q163" s="57" t="n">
        <x:f>Q134-Q143</x:f>
        <x:v>-543.6000000000004</x:v>
      </x:c>
      <x:c r="R163" s="57" t="n">
        <x:f>R134-R143</x:f>
        <x:v>-558.8199999999997</x:v>
      </x:c>
    </x:row>
    <x:row r="164" ht="22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</x:row>
    <x:row r="165" ht="22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</x:row>
    <x:row r="166" ht="30" customHeight="1">
      <x:c r="A166" s="12" t="str">
        <x:v>Defasagem = referência ÷ atual − 1. Diferença mensal = atual − referência; negativa indica valor abaixo da referência.</x:v>
      </x:c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</x:row>
    <x:row r="167" ht="22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</x:row>
    <x:row r="168" ht="30" customHeight="1">
      <x:c r="A168" s="63" t="str">
        <x:v>DEFASAGEM SALARIAL EM RELAÇÃO À REFERÊNCIA</x:v>
      </x:c>
      <x:c r="B168" s="63"/>
      <x:c r="C168" s="63"/>
      <x:c r="D168" s="63"/>
      <x:c r="E168" s="63"/>
      <x:c r="F168" s="63"/>
      <x:c r="G168" s="63"/>
      <x:c r="H168" s="63"/>
      <x:c r="I168" s="63"/>
      <x:c r="J168" s="63"/>
      <x:c r="K168" s="63"/>
      <x:c r="L168" s="63"/>
      <x:c r="M168" s="63"/>
      <x:c r="N168" s="63"/>
      <x:c r="O168" s="64" t="n">
        <x:f>D28/D19-1</x:f>
        <x:v>0.049999082753939605</x:v>
      </x:c>
      <x:c r="P168" s="63"/>
      <x:c r="Q168" s="63"/>
      <x:c r="R168" s="63"/>
    </x:row>
    <x:row r="169" ht="24" customHeight="1">
      <x:c r="A169" s="63"/>
      <x:c r="B169" s="63"/>
      <x:c r="C169" s="63"/>
      <x:c r="D169" s="63"/>
      <x:c r="E169" s="63"/>
      <x:c r="F169" s="63"/>
      <x:c r="G169" s="63"/>
      <x:c r="H169" s="63"/>
      <x:c r="I169" s="63"/>
      <x:c r="J169" s="63"/>
      <x:c r="K169" s="63"/>
      <x:c r="L169" s="63"/>
      <x:c r="M169" s="63"/>
      <x:c r="N169" s="63"/>
      <x:c r="O169" s="63"/>
      <x:c r="P169" s="63"/>
      <x:c r="Q169" s="63"/>
      <x:c r="R169" s="63"/>
    </x:row>
    <x:row r="170" ht="22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</x:row>
    <x:row r="171" ht="22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</x:row>
    <x:row r="172" ht="22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</x:row>
    <x:row r="173" ht="30" customHeight="1">
      <x:c r="A173" s="12" t="str">
        <x:v>Continuação das classes/referências: XLVI a XLVI. Nenhuma classe foi descartada.</x:v>
      </x:c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</x:row>
    <x:row r="174" ht="22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</x:row>
    <x:row r="175" ht="28" customHeight="1">
      <x:c r="A175" s="14" t="str">
        <x:v>ESTRUTURA DE PROMOÇÃO / PROGRESSÃO</x:v>
      </x:c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  <x:c r="R175" s="14"/>
    </x:row>
    <x:row r="176" ht="24" customHeight="1">
      <x:c r="A176" s="16" t="str">
        <x:v>AUXILIAR ADMINISTRATIVO OPERACIONAL — 40 HORAS</x:v>
      </x:c>
      <x:c r="B176" s="16"/>
      <x:c r="C176" s="16"/>
      <x:c r="D176" s="16"/>
      <x:c r="E176" s="16"/>
      <x:c r="F176" s="16"/>
      <x:c r="G176" s="16"/>
      <x:c r="H176" s="16"/>
      <x:c r="I176" s="16"/>
      <x:c r="J176" s="16"/>
      <x:c r="K176" s="16"/>
      <x:c r="L176" s="16"/>
      <x:c r="M176" s="16"/>
      <x:c r="N176" s="16"/>
      <x:c r="O176" s="16"/>
      <x:c r="P176" s="16"/>
      <x:c r="Q176" s="16"/>
      <x:c r="R176" s="16"/>
    </x:row>
    <x:row r="177" ht="28" customHeight="1">
      <x:c r="A177" s="19" t="str">
        <x:v>Classes →</x:v>
      </x:c>
      <x:c r="B177" s="19" t="str">
        <x:v>Nível</x:v>
      </x:c>
      <x:c r="C177" s="19" t="str">
        <x:v>Regra vertical</x:v>
      </x:c>
      <x:c r="D177" s="19" t="str">
        <x:v>XLVI</x:v>
      </x:c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</x:row>
    <x:row r="178" ht="26" customHeight="1">
      <x:c r="A178" s="2" t="str">
        <x:v>Níveis ↓</x:v>
      </x:c>
      <x:c r="B178" s="2" t="str">
        <x:v>I</x:v>
      </x:c>
      <x:c r="C178" s="2" t="str">
        <x:v>Base</x:v>
      </x:c>
      <x:c r="D178" s="6" t="n">
        <x:f>'Parâmetros'!C71/100</x:f>
        <x:v>0.027999999999999997</x:v>
      </x:c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</x:row>
    <x:row r="179" ht="26" customHeight="1">
      <x:c r="A179" s="2"/>
      <x:c r="B179" s="17" t="str">
        <x:v>II</x:v>
      </x:c>
      <x:c r="C179" s="20" t="str">
        <x:f> "+"&amp;TEXT('Parâmetros'!D20,"0.00")&amp;IF('Parâmetros'!C20="valor_fixo"," R$ / ","% / ")&amp;'Parâmetros'!E20</x:f>
        <x:v>+15.00% / I</x:v>
      </x:c>
      <x:c r="D179" s="22" t="n">
        <x:f>'Parâmetros'!C71/100</x:f>
        <x:v>0.027999999999999997</x:v>
      </x:c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</x:row>
    <x:row r="180" ht="26" customHeight="1">
      <x:c r="A180" s="2"/>
      <x:c r="B180" s="2" t="str">
        <x:v>III</x:v>
      </x:c>
      <x:c r="C180" s="7" t="str">
        <x:f> "+"&amp;TEXT('Parâmetros'!D21,"0.00")&amp;IF('Parâmetros'!C21="valor_fixo"," R$ / ","% / ")&amp;'Parâmetros'!E21</x:f>
        <x:v>+15.00% / II</x:v>
      </x:c>
      <x:c r="D180" s="6" t="n">
        <x:f>'Parâmetros'!C71/100</x:f>
        <x:v>0.027999999999999997</x:v>
      </x:c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</x:row>
    <x:row r="181" ht="26" customHeight="1">
      <x:c r="A181" s="23"/>
      <x:c r="B181" s="24" t="str">
        <x:v>IV</x:v>
      </x:c>
      <x:c r="C181" s="25" t="str">
        <x:f> "+"&amp;TEXT('Parâmetros'!D22,"0.00")&amp;IF('Parâmetros'!C22="valor_fixo"," R$ / ","% / ")&amp;'Parâmetros'!E22</x:f>
        <x:v>+15.00% / III</x:v>
      </x:c>
      <x:c r="D181" s="27" t="n">
        <x:f>'Parâmetros'!C71/100</x:f>
        <x:v>0.027999999999999997</x:v>
      </x:c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4"/>
      <x:c r="O181" s="24"/>
      <x:c r="P181" s="24"/>
      <x:c r="Q181" s="24"/>
      <x:c r="R181" s="24"/>
    </x:row>
    <x:row r="182" ht="22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</x:row>
    <x:row r="183" ht="22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</x:row>
    <x:row r="184" ht="28" customHeight="1">
      <x:c r="A184" s="14" t="str">
        <x:v>• TABELA DE VENCIMENTOS 2026 •</x:v>
      </x:c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  <x:c r="R184" s="14"/>
    </x:row>
    <x:row r="185" ht="24" customHeight="1">
      <x:c r="A185" s="16" t="str">
        <x:v>AUXILIAR ADMINISTRATIVO OPERACIONAL — 40 HORAS</x:v>
      </x:c>
      <x:c r="B185" s="16"/>
      <x:c r="C185" s="16"/>
      <x:c r="D185" s="16"/>
      <x:c r="E185" s="16"/>
      <x:c r="F185" s="16"/>
      <x:c r="G185" s="16"/>
      <x:c r="H185" s="16"/>
      <x:c r="I185" s="16"/>
      <x:c r="J185" s="16"/>
      <x:c r="K185" s="16"/>
      <x:c r="L185" s="16"/>
      <x:c r="M185" s="16"/>
      <x:c r="N185" s="16"/>
      <x:c r="O185" s="16"/>
      <x:c r="P185" s="16"/>
      <x:c r="Q185" s="16"/>
      <x:c r="R185" s="16"/>
    </x:row>
    <x:row r="186" ht="28" customHeight="1">
      <x:c r="A186" s="19" t="str">
        <x:v>Classes →</x:v>
      </x:c>
      <x:c r="B186" s="19" t="str">
        <x:v>Nível</x:v>
      </x:c>
      <x:c r="C186" s="19" t="str">
        <x:v>Regra vertical</x:v>
      </x:c>
      <x:c r="D186" s="19" t="str">
        <x:v>XLVI</x:v>
      </x:c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  <x:c r="R186" s="19"/>
    </x:row>
    <x:row r="187" ht="26" customHeight="1">
      <x:c r="A187" s="2" t="str">
        <x:v>Níveis ↓</x:v>
      </x:c>
      <x:c r="B187" s="2" t="str">
        <x:v>I</x:v>
      </x:c>
      <x:c r="C187" s="2" t="str">
        <x:v>Base</x:v>
      </x:c>
      <x:c r="D187" s="4" t="n">
        <x:f>'Dados originais'!AW4</x:f>
        <x:v>7555</x:v>
      </x:c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</x:row>
    <x:row r="188" ht="26" customHeight="1">
      <x:c r="A188" s="2"/>
      <x:c r="B188" s="17" t="str">
        <x:v>II</x:v>
      </x:c>
      <x:c r="C188" s="20" t="str">
        <x:f> "+"&amp;TEXT('Parâmetros'!D20,"0.00")&amp;IF('Parâmetros'!C20="valor_fixo"," R$ / ","% / ")&amp;'Parâmetros'!E20</x:f>
        <x:v>+15.00% / I</x:v>
      </x:c>
      <x:c r="D188" s="28" t="n">
        <x:f>'Dados originais'!AW5</x:f>
        <x:v>8688.25</x:v>
      </x:c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</x:row>
    <x:row r="189" ht="26" customHeight="1">
      <x:c r="A189" s="2"/>
      <x:c r="B189" s="2" t="str">
        <x:v>III</x:v>
      </x:c>
      <x:c r="C189" s="7" t="str">
        <x:f> "+"&amp;TEXT('Parâmetros'!D21,"0.00")&amp;IF('Parâmetros'!C21="valor_fixo"," R$ / ","% / ")&amp;'Parâmetros'!E21</x:f>
        <x:v>+15.00% / II</x:v>
      </x:c>
      <x:c r="D189" s="4" t="n">
        <x:f>'Dados originais'!AW6</x:f>
        <x:v>9991.49</x:v>
      </x:c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</x:row>
    <x:row r="190" ht="26" customHeight="1">
      <x:c r="A190" s="23"/>
      <x:c r="B190" s="24" t="str">
        <x:v>IV</x:v>
      </x:c>
      <x:c r="C190" s="25" t="str">
        <x:f> "+"&amp;TEXT('Parâmetros'!D22,"0.00")&amp;IF('Parâmetros'!C22="valor_fixo"," R$ / ","% / ")&amp;'Parâmetros'!E22</x:f>
        <x:v>+15.00% / III</x:v>
      </x:c>
      <x:c r="D190" s="29" t="n">
        <x:f>'Dados originais'!AW7</x:f>
        <x:v>11490.21</x:v>
      </x:c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4"/>
      <x:c r="O190" s="24"/>
      <x:c r="P190" s="24"/>
      <x:c r="Q190" s="24"/>
      <x:c r="R190" s="24"/>
    </x:row>
    <x:row r="191" ht="22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</x:row>
    <x:row r="192" ht="22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</x:row>
    <x:row r="193" ht="28" customHeight="1">
      <x:c r="A193" s="32" t="str">
        <x:v>• TABELA DE VENCIMENTOS — REFERÊNCIA Cenário didático: base inicial +5% •</x:v>
      </x:c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</x:row>
    <x:row r="194" ht="24" customHeight="1">
      <x:c r="A194" s="34" t="str">
        <x:v>AUXILIAR ADMINISTRATIVO OPERACIONAL — 40 HORAS</x:v>
      </x:c>
      <x:c r="B194" s="34"/>
      <x:c r="C194" s="34"/>
      <x:c r="D194" s="34"/>
      <x:c r="E194" s="34"/>
      <x:c r="F194" s="34"/>
      <x:c r="G194" s="34"/>
      <x:c r="H194" s="34"/>
      <x:c r="I194" s="34"/>
      <x:c r="J194" s="34"/>
      <x:c r="K194" s="34"/>
      <x:c r="L194" s="34"/>
      <x:c r="M194" s="34"/>
      <x:c r="N194" s="34"/>
      <x:c r="O194" s="34"/>
      <x:c r="P194" s="34"/>
      <x:c r="Q194" s="34"/>
      <x:c r="R194" s="34"/>
    </x:row>
    <x:row r="195" ht="28" customHeight="1">
      <x:c r="A195" s="37" t="str">
        <x:v>Classes →</x:v>
      </x:c>
      <x:c r="B195" s="37" t="str">
        <x:v>Nível</x:v>
      </x:c>
      <x:c r="C195" s="37" t="str">
        <x:v>Regra vertical</x:v>
      </x:c>
      <x:c r="D195" s="37" t="str">
        <x:v>XLVI</x:v>
      </x:c>
      <x:c r="E195" s="37"/>
      <x:c r="F195" s="37"/>
      <x:c r="G195" s="37"/>
      <x:c r="H195" s="37"/>
      <x:c r="I195" s="37"/>
      <x:c r="J195" s="37"/>
      <x:c r="K195" s="37"/>
      <x:c r="L195" s="37"/>
      <x:c r="M195" s="37"/>
      <x:c r="N195" s="37"/>
      <x:c r="O195" s="37"/>
      <x:c r="P195" s="37"/>
      <x:c r="Q195" s="37"/>
      <x:c r="R195" s="37"/>
    </x:row>
    <x:row r="196" ht="26" customHeight="1">
      <x:c r="A196" s="2" t="str">
        <x:v>Níveis ↓</x:v>
      </x:c>
      <x:c r="B196" s="2" t="str">
        <x:v>I</x:v>
      </x:c>
      <x:c r="C196" s="2" t="str">
        <x:v>Base</x:v>
      </x:c>
      <x:c r="D196" s="4" t="n">
        <x:f>IF('Parâmetros'!$B$12="truncar",ROUNDDOWN(R140*(1+'Parâmetros'!C71/100),2),ROUND(R140*(1+'Parâmetros'!C71/100),2))</x:f>
        <x:v>7932.68</x:v>
      </x:c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</x:row>
    <x:row r="197" ht="26" customHeight="1">
      <x:c r="A197" s="2"/>
      <x:c r="B197" s="35" t="str">
        <x:v>II</x:v>
      </x:c>
      <x:c r="C197" s="38" t="str">
        <x:f> "+"&amp;TEXT('Parâmetros'!D20,"0.00")&amp;IF('Parâmetros'!C20="valor_fixo"," R$ / ","% / ")&amp;'Parâmetros'!E20</x:f>
        <x:v>+15.00% / I</x:v>
      </x:c>
      <x:c r="D197" s="39" t="n">
        <x:f>IF('Parâmetros'!$B$12="truncar",ROUNDDOWN(R141*(1+'Parâmetros'!C71/100),2),ROUND(R141*(1+'Parâmetros'!C71/100),2))</x:f>
        <x:v>9122.66</x:v>
      </x:c>
      <x:c r="E197" s="35"/>
      <x:c r="F197" s="35"/>
      <x:c r="G197" s="35"/>
      <x:c r="H197" s="35"/>
      <x:c r="I197" s="35"/>
      <x:c r="J197" s="35"/>
      <x:c r="K197" s="35"/>
      <x:c r="L197" s="35"/>
      <x:c r="M197" s="35"/>
      <x:c r="N197" s="35"/>
      <x:c r="O197" s="35"/>
      <x:c r="P197" s="35"/>
      <x:c r="Q197" s="35"/>
      <x:c r="R197" s="35"/>
    </x:row>
    <x:row r="198" ht="26" customHeight="1">
      <x:c r="A198" s="2"/>
      <x:c r="B198" s="2" t="str">
        <x:v>III</x:v>
      </x:c>
      <x:c r="C198" s="7" t="str">
        <x:f> "+"&amp;TEXT('Parâmetros'!D21,"0.00")&amp;IF('Parâmetros'!C21="valor_fixo"," R$ / ","% / ")&amp;'Parâmetros'!E21</x:f>
        <x:v>+15.00% / II</x:v>
      </x:c>
      <x:c r="D198" s="4" t="n">
        <x:f>IF('Parâmetros'!$B$12="truncar",ROUNDDOWN(R142*(1+'Parâmetros'!C71/100),2),ROUND(R142*(1+'Parâmetros'!C71/100),2))</x:f>
        <x:v>10491.06</x:v>
      </x:c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</x:row>
    <x:row r="199" ht="26" customHeight="1">
      <x:c r="A199" s="40"/>
      <x:c r="B199" s="41" t="str">
        <x:v>IV</x:v>
      </x:c>
      <x:c r="C199" s="42" t="str">
        <x:f> "+"&amp;TEXT('Parâmetros'!D22,"0.00")&amp;IF('Parâmetros'!C22="valor_fixo"," R$ / ","% / ")&amp;'Parâmetros'!E22</x:f>
        <x:v>+15.00% / III</x:v>
      </x:c>
      <x:c r="D199" s="43" t="n">
        <x:f>IF('Parâmetros'!$B$12="truncar",ROUNDDOWN(R143*(1+'Parâmetros'!C71/100),2),ROUND(R143*(1+'Parâmetros'!C71/100),2))</x:f>
        <x:v>12064.68</x:v>
      </x:c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</x:row>
    <x:row r="200" ht="22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</x:row>
    <x:row r="201" ht="22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</x:row>
    <x:row r="202" ht="35" customHeight="1">
      <x:c r="A202" s="12" t="str">
        <x:f>"Neste bloco: "&amp;SUMPRODUCT(--(D187:D190&lt;D196:D199))&amp;" vencimentos abaixo da referência de carreira; "&amp;COUNTIF(D187:D190,"&lt;"&amp;$D$4)&amp;" abaixo da base inicial (em vermelho)."</x:f>
        <x:v>Neste bloco: 4 vencimentos abaixo da referência de carreira; 0 abaixo da base inicial (em vermelho).</x:v>
      </x:c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</x:row>
    <x:row r="203" ht="22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</x:row>
    <x:row r="204" ht="28" customHeight="1">
      <x:c r="A204" s="14" t="str">
        <x:v>NÃO CONFORMIDADES EM RELAÇÃO À REFERÊNCIA</x:v>
      </x:c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/>
      <x:c r="R204" s="14"/>
    </x:row>
    <x:row r="205" ht="24" customHeight="1">
      <x:c r="A205" s="16" t="str">
        <x:v>AUXILIAR ADMINISTRATIVO OPERACIONAL — 40 HORAS</x:v>
      </x:c>
      <x:c r="B205" s="16"/>
      <x:c r="C205" s="16"/>
      <x:c r="D205" s="16"/>
      <x:c r="E205" s="16"/>
      <x:c r="F205" s="16"/>
      <x:c r="G205" s="16"/>
      <x:c r="H205" s="16"/>
      <x:c r="I205" s="16"/>
      <x:c r="J205" s="16"/>
      <x:c r="K205" s="16"/>
      <x:c r="L205" s="16"/>
      <x:c r="M205" s="16"/>
      <x:c r="N205" s="16"/>
      <x:c r="O205" s="16"/>
      <x:c r="P205" s="16"/>
      <x:c r="Q205" s="16"/>
      <x:c r="R205" s="16"/>
    </x:row>
    <x:row r="206" ht="28" customHeight="1">
      <x:c r="A206" s="19" t="str">
        <x:v>Classes →</x:v>
      </x:c>
      <x:c r="B206" s="19" t="str">
        <x:v>Nível</x:v>
      </x:c>
      <x:c r="C206" s="19" t="str">
        <x:v>Regra vertical</x:v>
      </x:c>
      <x:c r="D206" s="19" t="str">
        <x:v>XLVI</x:v>
      </x:c>
      <x:c r="E206" s="19"/>
      <x:c r="F206" s="19"/>
      <x:c r="G206" s="19"/>
      <x:c r="H206" s="19"/>
      <x:c r="I206" s="19"/>
      <x:c r="J206" s="19"/>
      <x:c r="K206" s="19"/>
      <x:c r="L206" s="19"/>
      <x:c r="M206" s="19"/>
      <x:c r="N206" s="19"/>
      <x:c r="O206" s="19"/>
      <x:c r="P206" s="19"/>
      <x:c r="Q206" s="19"/>
      <x:c r="R206" s="19"/>
    </x:row>
    <x:row r="207" ht="26" customHeight="1">
      <x:c r="A207" s="2" t="str">
        <x:v>Níveis ↓</x:v>
      </x:c>
      <x:c r="B207" s="2" t="str">
        <x:v>I</x:v>
      </x:c>
      <x:c r="C207" s="2" t="str">
        <x:v>Base</x:v>
      </x:c>
      <x:c r="D207" s="4" t="n">
        <x:f>'Dados originais'!AW4</x:f>
        <x:v>7555</x:v>
      </x:c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</x:row>
    <x:row r="208" ht="26" customHeight="1">
      <x:c r="A208" s="2"/>
      <x:c r="B208" s="17" t="str">
        <x:v>II</x:v>
      </x:c>
      <x:c r="C208" s="20" t="str">
        <x:f> "+"&amp;TEXT('Parâmetros'!D20,"0.00")&amp;IF('Parâmetros'!C20="valor_fixo"," R$ / ","% / ")&amp;'Parâmetros'!E20</x:f>
        <x:v>+15.00% / I</x:v>
      </x:c>
      <x:c r="D208" s="28" t="n">
        <x:f>'Dados originais'!AW5</x:f>
        <x:v>8688.25</x:v>
      </x:c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</x:row>
    <x:row r="209" ht="26" customHeight="1">
      <x:c r="A209" s="2"/>
      <x:c r="B209" s="2" t="str">
        <x:v>III</x:v>
      </x:c>
      <x:c r="C209" s="7" t="str">
        <x:f> "+"&amp;TEXT('Parâmetros'!D21,"0.00")&amp;IF('Parâmetros'!C21="valor_fixo"," R$ / ","% / ")&amp;'Parâmetros'!E21</x:f>
        <x:v>+15.00% / II</x:v>
      </x:c>
      <x:c r="D209" s="4" t="n">
        <x:f>'Dados originais'!AW6</x:f>
        <x:v>9991.49</x:v>
      </x:c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</x:row>
    <x:row r="210" ht="26" customHeight="1">
      <x:c r="A210" s="23"/>
      <x:c r="B210" s="24" t="str">
        <x:v>IV</x:v>
      </x:c>
      <x:c r="C210" s="25" t="str">
        <x:f> "+"&amp;TEXT('Parâmetros'!D22,"0.00")&amp;IF('Parâmetros'!C22="valor_fixo"," R$ / ","% / ")&amp;'Parâmetros'!E22</x:f>
        <x:v>+15.00% / III</x:v>
      </x:c>
      <x:c r="D210" s="29" t="n">
        <x:f>'Dados originais'!AW7</x:f>
        <x:v>11490.21</x:v>
      </x:c>
      <x:c r="E210" s="24"/>
      <x:c r="F210" s="24"/>
      <x:c r="G210" s="24"/>
      <x:c r="H210" s="24"/>
      <x:c r="I210" s="24"/>
      <x:c r="J210" s="24"/>
      <x:c r="K210" s="24"/>
      <x:c r="L210" s="24"/>
      <x:c r="M210" s="24"/>
      <x:c r="N210" s="24"/>
      <x:c r="O210" s="24"/>
      <x:c r="P210" s="24"/>
      <x:c r="Q210" s="24"/>
      <x:c r="R210" s="24"/>
    </x:row>
    <x:row r="211" ht="22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</x:row>
    <x:row r="212" ht="22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</x:row>
    <x:row r="213" ht="28" customHeight="1">
      <x:c r="A213" s="46" t="str">
        <x:v>• DEFASAGEM SALARIAL MENSAL •</x:v>
      </x:c>
      <x:c r="B213" s="46"/>
      <x:c r="C213" s="46"/>
      <x:c r="D213" s="46"/>
      <x:c r="E213" s="46"/>
      <x:c r="F213" s="46"/>
      <x:c r="G213" s="46"/>
      <x:c r="H213" s="46"/>
      <x:c r="I213" s="46"/>
      <x:c r="J213" s="46"/>
      <x:c r="K213" s="46"/>
      <x:c r="L213" s="46"/>
      <x:c r="M213" s="46"/>
      <x:c r="N213" s="46"/>
      <x:c r="O213" s="46"/>
      <x:c r="P213" s="46"/>
      <x:c r="Q213" s="46"/>
      <x:c r="R213" s="46"/>
    </x:row>
    <x:row r="214" ht="24" customHeight="1">
      <x:c r="A214" s="48" t="str">
        <x:v>AUXILIAR ADMINISTRATIVO OPERACIONAL — 40 HORAS</x:v>
      </x:c>
      <x:c r="B214" s="48"/>
      <x:c r="C214" s="48"/>
      <x:c r="D214" s="48"/>
      <x:c r="E214" s="48"/>
      <x:c r="F214" s="48"/>
      <x:c r="G214" s="48"/>
      <x:c r="H214" s="48"/>
      <x:c r="I214" s="48"/>
      <x:c r="J214" s="48"/>
      <x:c r="K214" s="48"/>
      <x:c r="L214" s="48"/>
      <x:c r="M214" s="48"/>
      <x:c r="N214" s="48"/>
      <x:c r="O214" s="48"/>
      <x:c r="P214" s="48"/>
      <x:c r="Q214" s="48"/>
      <x:c r="R214" s="48"/>
    </x:row>
    <x:row r="215" ht="28" customHeight="1">
      <x:c r="A215" s="51" t="str">
        <x:v>Classes →</x:v>
      </x:c>
      <x:c r="B215" s="51" t="str">
        <x:v>Nível</x:v>
      </x:c>
      <x:c r="C215" s="51" t="str">
        <x:v>Regra vertical</x:v>
      </x:c>
      <x:c r="D215" s="51" t="str">
        <x:v>XLVI</x:v>
      </x:c>
      <x:c r="E215" s="51"/>
      <x:c r="F215" s="51"/>
      <x:c r="G215" s="51"/>
      <x:c r="H215" s="51"/>
      <x:c r="I215" s="51"/>
      <x:c r="J215" s="51"/>
      <x:c r="K215" s="51"/>
      <x:c r="L215" s="51"/>
      <x:c r="M215" s="51"/>
      <x:c r="N215" s="51"/>
      <x:c r="O215" s="51"/>
      <x:c r="P215" s="51"/>
      <x:c r="Q215" s="51"/>
      <x:c r="R215" s="51"/>
    </x:row>
    <x:row r="216" ht="26" customHeight="1">
      <x:c r="A216" s="2" t="str">
        <x:v>Níveis ↓</x:v>
      </x:c>
      <x:c r="B216" s="2" t="str">
        <x:v>I</x:v>
      </x:c>
      <x:c r="C216" s="2" t="str">
        <x:v>Base</x:v>
      </x:c>
      <x:c r="D216" s="4" t="n">
        <x:f>D187-D196</x:f>
        <x:v>-377.6800000000003</x:v>
      </x:c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</x:row>
    <x:row r="217" ht="26" customHeight="1">
      <x:c r="A217" s="2"/>
      <x:c r="B217" s="49" t="str">
        <x:v>II</x:v>
      </x:c>
      <x:c r="C217" s="52" t="str">
        <x:f> "+"&amp;TEXT('Parâmetros'!D20,"0.00")&amp;IF('Parâmetros'!C20="valor_fixo"," R$ / ","% / ")&amp;'Parâmetros'!E20</x:f>
        <x:v>+15.00% / I</x:v>
      </x:c>
      <x:c r="D217" s="53" t="n">
        <x:f>D188-D197</x:f>
        <x:v>-434.40999999999985</x:v>
      </x:c>
      <x:c r="E217" s="49"/>
      <x:c r="F217" s="49"/>
      <x:c r="G217" s="49"/>
      <x:c r="H217" s="49"/>
      <x:c r="I217" s="49"/>
      <x:c r="J217" s="49"/>
      <x:c r="K217" s="49"/>
      <x:c r="L217" s="49"/>
      <x:c r="M217" s="49"/>
      <x:c r="N217" s="49"/>
      <x:c r="O217" s="49"/>
      <x:c r="P217" s="49"/>
      <x:c r="Q217" s="49"/>
      <x:c r="R217" s="49"/>
    </x:row>
    <x:row r="218" ht="26" customHeight="1">
      <x:c r="A218" s="2"/>
      <x:c r="B218" s="2" t="str">
        <x:v>III</x:v>
      </x:c>
      <x:c r="C218" s="7" t="str">
        <x:f> "+"&amp;TEXT('Parâmetros'!D21,"0.00")&amp;IF('Parâmetros'!C21="valor_fixo"," R$ / ","% / ")&amp;'Parâmetros'!E21</x:f>
        <x:v>+15.00% / II</x:v>
      </x:c>
      <x:c r="D218" s="4" t="n">
        <x:f>D189-D198</x:f>
        <x:v>-499.5699999999997</x:v>
      </x:c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</x:row>
    <x:row r="219" ht="26" customHeight="1">
      <x:c r="A219" s="54"/>
      <x:c r="B219" s="55" t="str">
        <x:v>IV</x:v>
      </x:c>
      <x:c r="C219" s="56" t="str">
        <x:f> "+"&amp;TEXT('Parâmetros'!D22,"0.00")&amp;IF('Parâmetros'!C22="valor_fixo"," R$ / ","% / ")&amp;'Parâmetros'!E22</x:f>
        <x:v>+15.00% / III</x:v>
      </x:c>
      <x:c r="D219" s="57" t="n">
        <x:f>D190-D199</x:f>
        <x:v>-574.4700000000012</x:v>
      </x:c>
      <x:c r="E219" s="55"/>
      <x:c r="F219" s="55"/>
      <x:c r="G219" s="55"/>
      <x:c r="H219" s="55"/>
      <x:c r="I219" s="55"/>
      <x:c r="J219" s="55"/>
      <x:c r="K219" s="55"/>
      <x:c r="L219" s="55"/>
      <x:c r="M219" s="55"/>
      <x:c r="N219" s="55"/>
      <x:c r="O219" s="55"/>
      <x:c r="P219" s="55"/>
      <x:c r="Q219" s="55"/>
      <x:c r="R219" s="55"/>
    </x:row>
    <x:row r="220" ht="22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</x:row>
    <x:row r="221" ht="22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</x:row>
    <x:row r="222" ht="30" customHeight="1">
      <x:c r="A222" s="12" t="str">
        <x:v>Defasagem = referência ÷ atual − 1. Diferença mensal = atual − referência; negativa indica valor abaixo da referência.</x:v>
      </x:c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</x:row>
    <x:row r="223" ht="22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</x:row>
    <x:row r="224" ht="30" customHeight="1">
      <x:c r="A224" s="63" t="str">
        <x:v>DEFASAGEM SALARIAL EM RELAÇÃO À REFERÊNCIA</x:v>
      </x:c>
      <x:c r="B224" s="63"/>
      <x:c r="C224" s="63"/>
      <x:c r="D224" s="63"/>
      <x:c r="E224" s="63"/>
      <x:c r="F224" s="63"/>
      <x:c r="G224" s="63"/>
      <x:c r="H224" s="63"/>
      <x:c r="I224" s="63"/>
      <x:c r="J224" s="63"/>
      <x:c r="K224" s="63"/>
      <x:c r="L224" s="63"/>
      <x:c r="M224" s="63"/>
      <x:c r="N224" s="63"/>
      <x:c r="O224" s="64" t="n">
        <x:f>D28/D19-1</x:f>
        <x:v>0.049999082753939605</x:v>
      </x:c>
      <x:c r="P224" s="63"/>
      <x:c r="Q224" s="63"/>
      <x:c r="R224" s="63"/>
    </x:row>
    <x:row r="225" ht="24" customHeight="1">
      <x:c r="A225" s="63"/>
      <x:c r="B225" s="63"/>
      <x:c r="C225" s="63"/>
      <x:c r="D225" s="63"/>
      <x:c r="E225" s="63"/>
      <x:c r="F225" s="63"/>
      <x:c r="G225" s="63"/>
      <x:c r="H225" s="63"/>
      <x:c r="I225" s="63"/>
      <x:c r="J225" s="63"/>
      <x:c r="K225" s="63"/>
      <x:c r="L225" s="63"/>
      <x:c r="M225" s="63"/>
      <x:c r="N225" s="63"/>
      <x:c r="O225" s="63"/>
      <x:c r="P225" s="63"/>
      <x:c r="Q225" s="63"/>
      <x:c r="R225" s="63"/>
    </x:row>
    <x:row r="226" ht="22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</x:row>
    <x:row r="227" ht="22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</x:row>
    <x:row r="228" ht="22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</x:row>
    <x:row r="229" ht="32" customHeight="1">
      <x:c r="A229" s="12" t="str">
        <x:v>Níveis: I — Parte permanente — Nível I; II — Parte permanente — Nível II; III — Parte permanente — Nível III; IV — Parte permanente — Nível IV</x:v>
      </x:c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</x:row>
  </x:sheetData>
  <x:mergeCells>
    <x:mergeCell ref="A1:R1"/>
    <x:mergeCell ref="A2:R2"/>
    <x:mergeCell ref="A3:R3"/>
    <x:mergeCell ref="A4:C4"/>
    <x:mergeCell ref="A5:R5"/>
    <x:mergeCell ref="A7:R7"/>
    <x:mergeCell ref="A8:R8"/>
    <x:mergeCell ref="A10:A13"/>
    <x:mergeCell ref="A16:R16"/>
    <x:mergeCell ref="A17:R17"/>
    <x:mergeCell ref="A19:A22"/>
    <x:mergeCell ref="A25:R25"/>
    <x:mergeCell ref="A26:R26"/>
    <x:mergeCell ref="A28:A31"/>
    <x:mergeCell ref="A34:R34"/>
    <x:mergeCell ref="A36:R36"/>
    <x:mergeCell ref="A37:R37"/>
    <x:mergeCell ref="A39:A42"/>
    <x:mergeCell ref="A45:R45"/>
    <x:mergeCell ref="A46:R46"/>
    <x:mergeCell ref="A48:A51"/>
    <x:mergeCell ref="A54:R54"/>
    <x:mergeCell ref="A56:N57"/>
    <x:mergeCell ref="O56:R57"/>
    <x:mergeCell ref="A61:R61"/>
    <x:mergeCell ref="A63:R63"/>
    <x:mergeCell ref="A64:R64"/>
    <x:mergeCell ref="A66:A69"/>
    <x:mergeCell ref="A72:R72"/>
    <x:mergeCell ref="A73:R73"/>
    <x:mergeCell ref="A75:A78"/>
    <x:mergeCell ref="A81:R81"/>
    <x:mergeCell ref="A82:R82"/>
    <x:mergeCell ref="A84:A87"/>
    <x:mergeCell ref="A90:R90"/>
    <x:mergeCell ref="A92:R92"/>
    <x:mergeCell ref="A93:R93"/>
    <x:mergeCell ref="A95:A98"/>
    <x:mergeCell ref="A101:R101"/>
    <x:mergeCell ref="A102:R102"/>
    <x:mergeCell ref="A104:A107"/>
    <x:mergeCell ref="A110:R110"/>
    <x:mergeCell ref="A112:N113"/>
    <x:mergeCell ref="O112:R113"/>
    <x:mergeCell ref="A117:R117"/>
    <x:mergeCell ref="A119:R119"/>
    <x:mergeCell ref="A120:R120"/>
    <x:mergeCell ref="A122:A125"/>
    <x:mergeCell ref="A128:R128"/>
    <x:mergeCell ref="A129:R129"/>
    <x:mergeCell ref="A131:A134"/>
    <x:mergeCell ref="A137:R137"/>
    <x:mergeCell ref="A138:R138"/>
    <x:mergeCell ref="A140:A143"/>
    <x:mergeCell ref="A146:R146"/>
    <x:mergeCell ref="A148:R148"/>
    <x:mergeCell ref="A149:R149"/>
    <x:mergeCell ref="A151:A154"/>
    <x:mergeCell ref="A157:R157"/>
    <x:mergeCell ref="A158:R158"/>
    <x:mergeCell ref="A160:A163"/>
    <x:mergeCell ref="A166:R166"/>
    <x:mergeCell ref="A168:N169"/>
    <x:mergeCell ref="O168:R169"/>
    <x:mergeCell ref="A173:R173"/>
    <x:mergeCell ref="A175:R175"/>
    <x:mergeCell ref="A176:R176"/>
    <x:mergeCell ref="A178:A181"/>
    <x:mergeCell ref="A184:R184"/>
    <x:mergeCell ref="A185:R185"/>
    <x:mergeCell ref="A187:A190"/>
    <x:mergeCell ref="A193:R193"/>
    <x:mergeCell ref="A194:R194"/>
    <x:mergeCell ref="A196:A199"/>
    <x:mergeCell ref="A202:R202"/>
    <x:mergeCell ref="A204:R204"/>
    <x:mergeCell ref="A205:R205"/>
    <x:mergeCell ref="A207:A210"/>
    <x:mergeCell ref="A213:R213"/>
    <x:mergeCell ref="A214:R214"/>
    <x:mergeCell ref="A216:A219"/>
    <x:mergeCell ref="A222:R222"/>
    <x:mergeCell ref="A224:N225"/>
    <x:mergeCell ref="O224:R225"/>
    <x:mergeCell ref="A229:R229"/>
  </x:mergeCells>
  <x:conditionalFormatting sqref="D19:R19">
    <x:cfRule type="expression" dxfId="0" priority="1">
      <x:formula>D19&lt;$D$4</x:formula>
    </x:cfRule>
  </x:conditionalFormatting>
  <x:conditionalFormatting sqref="D20:R20">
    <x:cfRule type="expression" dxfId="1" priority="2">
      <x:formula>D20&lt;$D$4</x:formula>
    </x:cfRule>
  </x:conditionalFormatting>
  <x:conditionalFormatting sqref="D21:R21">
    <x:cfRule type="expression" dxfId="2" priority="3">
      <x:formula>D21&lt;$D$4</x:formula>
    </x:cfRule>
  </x:conditionalFormatting>
  <x:conditionalFormatting sqref="D22:R22">
    <x:cfRule type="expression" dxfId="3" priority="4">
      <x:formula>D22&lt;$D$4</x:formula>
    </x:cfRule>
  </x:conditionalFormatting>
  <x:conditionalFormatting sqref="D39:R39">
    <x:cfRule type="expression" dxfId="4" priority="5">
      <x:formula>D39&lt;$D$4</x:formula>
    </x:cfRule>
  </x:conditionalFormatting>
  <x:conditionalFormatting sqref="D40:R40">
    <x:cfRule type="expression" dxfId="5" priority="6">
      <x:formula>D40&lt;$D$4</x:formula>
    </x:cfRule>
  </x:conditionalFormatting>
  <x:conditionalFormatting sqref="D41:R41">
    <x:cfRule type="expression" dxfId="6" priority="7">
      <x:formula>D41&lt;$D$4</x:formula>
    </x:cfRule>
  </x:conditionalFormatting>
  <x:conditionalFormatting sqref="D42:R42">
    <x:cfRule type="expression" dxfId="7" priority="8">
      <x:formula>D42&lt;$D$4</x:formula>
    </x:cfRule>
  </x:conditionalFormatting>
  <x:conditionalFormatting sqref="D75:R75">
    <x:cfRule type="expression" dxfId="8" priority="9">
      <x:formula>D75&lt;$D$4</x:formula>
    </x:cfRule>
  </x:conditionalFormatting>
  <x:conditionalFormatting sqref="D76:R76">
    <x:cfRule type="expression" dxfId="9" priority="10">
      <x:formula>D76&lt;$D$4</x:formula>
    </x:cfRule>
  </x:conditionalFormatting>
  <x:conditionalFormatting sqref="D77:R77">
    <x:cfRule type="expression" dxfId="10" priority="11">
      <x:formula>D77&lt;$D$4</x:formula>
    </x:cfRule>
  </x:conditionalFormatting>
  <x:conditionalFormatting sqref="D78:R78">
    <x:cfRule type="expression" dxfId="11" priority="12">
      <x:formula>D78&lt;$D$4</x:formula>
    </x:cfRule>
  </x:conditionalFormatting>
  <x:conditionalFormatting sqref="D95:R95">
    <x:cfRule type="expression" dxfId="12" priority="13">
      <x:formula>D95&lt;$D$4</x:formula>
    </x:cfRule>
  </x:conditionalFormatting>
  <x:conditionalFormatting sqref="D96:R96">
    <x:cfRule type="expression" dxfId="13" priority="14">
      <x:formula>D96&lt;$D$4</x:formula>
    </x:cfRule>
  </x:conditionalFormatting>
  <x:conditionalFormatting sqref="D97:R97">
    <x:cfRule type="expression" dxfId="14" priority="15">
      <x:formula>D97&lt;$D$4</x:formula>
    </x:cfRule>
  </x:conditionalFormatting>
  <x:conditionalFormatting sqref="D98:R98">
    <x:cfRule type="expression" dxfId="15" priority="16">
      <x:formula>D98&lt;$D$4</x:formula>
    </x:cfRule>
  </x:conditionalFormatting>
  <x:conditionalFormatting sqref="D131:R131">
    <x:cfRule type="expression" dxfId="16" priority="17">
      <x:formula>D131&lt;$D$4</x:formula>
    </x:cfRule>
  </x:conditionalFormatting>
  <x:conditionalFormatting sqref="D132:R132">
    <x:cfRule type="expression" dxfId="17" priority="18">
      <x:formula>D132&lt;$D$4</x:formula>
    </x:cfRule>
  </x:conditionalFormatting>
  <x:conditionalFormatting sqref="D133:R133">
    <x:cfRule type="expression" dxfId="18" priority="19">
      <x:formula>D133&lt;$D$4</x:formula>
    </x:cfRule>
  </x:conditionalFormatting>
  <x:conditionalFormatting sqref="D134:R134">
    <x:cfRule type="expression" dxfId="19" priority="20">
      <x:formula>D134&lt;$D$4</x:formula>
    </x:cfRule>
  </x:conditionalFormatting>
  <x:conditionalFormatting sqref="D151:R151">
    <x:cfRule type="expression" dxfId="20" priority="21">
      <x:formula>D151&lt;$D$4</x:formula>
    </x:cfRule>
  </x:conditionalFormatting>
  <x:conditionalFormatting sqref="D152:R152">
    <x:cfRule type="expression" dxfId="21" priority="22">
      <x:formula>D152&lt;$D$4</x:formula>
    </x:cfRule>
  </x:conditionalFormatting>
  <x:conditionalFormatting sqref="D153:R153">
    <x:cfRule type="expression" dxfId="22" priority="23">
      <x:formula>D153&lt;$D$4</x:formula>
    </x:cfRule>
  </x:conditionalFormatting>
  <x:conditionalFormatting sqref="D154:R154">
    <x:cfRule type="expression" dxfId="23" priority="24">
      <x:formula>D154&lt;$D$4</x:formula>
    </x:cfRule>
  </x:conditionalFormatting>
  <x:conditionalFormatting sqref="D187:D187">
    <x:cfRule type="expression" dxfId="24" priority="25">
      <x:formula>D187&lt;$D$4</x:formula>
    </x:cfRule>
  </x:conditionalFormatting>
  <x:conditionalFormatting sqref="D188:D188">
    <x:cfRule type="expression" dxfId="25" priority="26">
      <x:formula>D188&lt;$D$4</x:formula>
    </x:cfRule>
  </x:conditionalFormatting>
  <x:conditionalFormatting sqref="D189:D189">
    <x:cfRule type="expression" dxfId="26" priority="27">
      <x:formula>D189&lt;$D$4</x:formula>
    </x:cfRule>
  </x:conditionalFormatting>
  <x:conditionalFormatting sqref="D190:D190">
    <x:cfRule type="expression" dxfId="27" priority="28">
      <x:formula>D190&lt;$D$4</x:formula>
    </x:cfRule>
  </x:conditionalFormatting>
  <x:conditionalFormatting sqref="D207:D207">
    <x:cfRule type="expression" dxfId="28" priority="29">
      <x:formula>D207&lt;$D$4</x:formula>
    </x:cfRule>
  </x:conditionalFormatting>
  <x:conditionalFormatting sqref="D208:D208">
    <x:cfRule type="expression" dxfId="29" priority="30">
      <x:formula>D208&lt;$D$4</x:formula>
    </x:cfRule>
  </x:conditionalFormatting>
  <x:conditionalFormatting sqref="D209:D209">
    <x:cfRule type="expression" dxfId="30" priority="31">
      <x:formula>D209&lt;$D$4</x:formula>
    </x:cfRule>
  </x:conditionalFormatting>
  <x:conditionalFormatting sqref="D210:D210">
    <x:cfRule type="expression" dxfId="31" priority="32">
      <x:formula>D210&lt;$D$4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9" hidden="0" customWidth="1"/>
    <x:col min="3" max="3" width="25" hidden="0" customWidth="1"/>
    <x:col min="4" max="4" width="23" hidden="0" customWidth="1"/>
    <x:col min="5" max="5" width="19" hidden="0" customWidth="1"/>
    <x:col min="6" max="6" width="24" hidden="0" customWidth="1"/>
  </x:cols>
  <x:sheetData>
    <x:row r="1" ht="26" customHeight="1">
      <x:c r="A1" s="32" t="str">
        <x:v>PARÂMETROS DA COMPARAÇÃO</x:v>
      </x:c>
      <x:c r="B1" s="32"/>
      <x:c r="C1" s="32"/>
      <x:c r="D1" s="32"/>
      <x:c r="E1" s="32"/>
      <x:c r="F1" s="32"/>
    </x:row>
    <x:row r="2" ht="22" customHeight="1">
      <x:c r="A2" s="2"/>
      <x:c r="B2" s="2"/>
      <x:c r="C2" s="2"/>
      <x:c r="D2" s="2"/>
      <x:c r="E2" s="2"/>
      <x:c r="F2" s="2"/>
    </x:row>
    <x:row r="3" ht="22" customHeight="1">
      <x:c r="A3" s="2" t="str">
        <x:v>Município</x:v>
      </x:c>
      <x:c r="B3" s="71" t="str">
        <x:v>Curitiba</x:v>
      </x:c>
      <x:c r="C3" s="2"/>
      <x:c r="D3" s="2"/>
      <x:c r="E3" s="2"/>
      <x:c r="F3" s="2"/>
    </x:row>
    <x:row r="4" ht="32" customHeight="1">
      <x:c r="A4" s="2" t="str">
        <x:v>Profissão/cargo</x:v>
      </x:c>
      <x:c r="B4" s="71" t="str">
        <x:v>Auxiliar Administrativo Operacional</x:v>
      </x:c>
      <x:c r="C4" s="2"/>
      <x:c r="D4" s="2"/>
      <x:c r="E4" s="2"/>
      <x:c r="F4" s="2"/>
    </x:row>
    <x:row r="5" ht="22" customHeight="1">
      <x:c r="A5" s="2" t="str">
        <x:v>Ano</x:v>
      </x:c>
      <x:c r="B5" s="72" t="n">
        <x:v>2026</x:v>
      </x:c>
      <x:c r="C5" s="2"/>
      <x:c r="D5" s="2"/>
      <x:c r="E5" s="2"/>
      <x:c r="F5" s="2"/>
    </x:row>
    <x:row r="6" ht="22" customHeight="1">
      <x:c r="A6" s="2" t="str">
        <x:v>Jornada do cargo (h/semana)</x:v>
      </x:c>
      <x:c r="B6" s="72" t="n">
        <x:v>40</x:v>
      </x:c>
      <x:c r="C6" s="2"/>
      <x:c r="D6" s="2"/>
      <x:c r="E6" s="2"/>
      <x:c r="F6" s="2"/>
    </x:row>
    <x:row r="7" ht="32" customHeight="1">
      <x:c r="A7" s="2" t="str">
        <x:v>Tipo da referência</x:v>
      </x:c>
      <x:c r="B7" s="71" t="str">
        <x:v>cenario</x:v>
      </x:c>
      <x:c r="C7" s="2"/>
      <x:c r="D7" s="2"/>
      <x:c r="E7" s="2"/>
      <x:c r="F7" s="2"/>
    </x:row>
    <x:row r="8" ht="32" customHeight="1">
      <x:c r="A8" s="2" t="str">
        <x:v>Nome da referência</x:v>
      </x:c>
      <x:c r="B8" s="71" t="str">
        <x:v>Cenário didático: base inicial +5%</x:v>
      </x:c>
      <x:c r="C8" s="2"/>
      <x:c r="D8" s="2"/>
      <x:c r="E8" s="2"/>
      <x:c r="F8" s="2"/>
    </x:row>
    <x:row r="9" ht="22" customHeight="1">
      <x:c r="A9" s="2" t="str">
        <x:v>Valor da referência</x:v>
      </x:c>
      <x:c r="B9" s="76" t="n">
        <x:v>2289.46</x:v>
      </x:c>
      <x:c r="C9" s="2"/>
      <x:c r="D9" s="2"/>
      <x:c r="E9" s="2"/>
      <x:c r="F9" s="2"/>
    </x:row>
    <x:row r="10" ht="22" customHeight="1">
      <x:c r="A10" s="2" t="str">
        <x:v>Jornada da referência</x:v>
      </x:c>
      <x:c r="B10" s="72" t="n">
        <x:v>40</x:v>
      </x:c>
      <x:c r="C10" s="2"/>
      <x:c r="D10" s="2"/>
      <x:c r="E10" s="2"/>
      <x:c r="F10" s="2"/>
    </x:row>
    <x:row r="11" ht="32" customHeight="1">
      <x:c r="A11" s="2" t="str">
        <x:v>Proporcionalidade autorizada</x:v>
      </x:c>
      <x:c r="B11" s="71" t="str">
        <x:v>não</x:v>
      </x:c>
      <x:c r="C11" s="2"/>
      <x:c r="D11" s="2"/>
      <x:c r="E11" s="2"/>
      <x:c r="F11" s="2"/>
    </x:row>
    <x:row r="12" ht="32" customHeight="1">
      <x:c r="A12" s="2" t="str">
        <x:v>Tratamento dos centavos</x:v>
      </x:c>
      <x:c r="B12" s="71" t="str">
        <x:v>arredondar</x:v>
      </x:c>
      <x:c r="C12" s="2"/>
      <x:c r="D12" s="2"/>
      <x:c r="E12" s="2"/>
      <x:c r="F12" s="2"/>
    </x:row>
    <x:row r="13" ht="22" customHeight="1">
      <x:c r="A13" s="2" t="str">
        <x:v>Referência proporcional</x:v>
      </x:c>
      <x:c r="B13" s="73" t="n">
        <x:f>IF(B12="truncar",ROUNDDOWN(IF(B11="sim",B9*B6/B10,B9),2),ROUND(IF(B11="sim",B9*B6/B10,B9),2))</x:f>
        <x:v>2289.46</x:v>
      </x:c>
      <x:c r="C13" s="2"/>
      <x:c r="D13" s="2"/>
      <x:c r="E13" s="2"/>
      <x:c r="F13" s="2"/>
    </x:row>
    <x:row r="14" ht="22" customHeight="1">
      <x:c r="A14" s="2" t="str">
        <x:v>Ano da referência</x:v>
      </x:c>
      <x:c r="B14" s="72" t="n">
        <x:v>2026</x:v>
      </x:c>
      <x:c r="C14" s="2"/>
      <x:c r="D14" s="2"/>
      <x:c r="E14" s="2"/>
      <x:c r="F14" s="2"/>
    </x:row>
    <x:row r="15" ht="22" customHeight="1">
      <x:c r="A15" s="2" t="str">
        <x:v>Tolerância estrutural (R$)</x:v>
      </x:c>
      <x:c r="B15" s="72" t="n">
        <x:v>0.01</x:v>
      </x:c>
      <x:c r="C15" s="2"/>
      <x:c r="D15" s="2"/>
      <x:c r="E15" s="2"/>
      <x:c r="F15" s="2"/>
    </x:row>
    <x:row r="16" ht="22" customHeight="1">
      <x:c r="A16" s="2" t="str">
        <x:v>Coerência de ano/jornada</x:v>
      </x:c>
      <x:c r="B16" s="7" t="str">
        <x:f>IF(AND(B5=B14,OR(B11="sim",B6=B10)),"OK","REVISAR ANO/JORNADA")</x:f>
        <x:v>OK</x:v>
      </x:c>
      <x:c r="C16" s="2"/>
      <x:c r="D16" s="2"/>
      <x:c r="E16" s="2"/>
      <x:c r="F16" s="2"/>
    </x:row>
    <x:row r="17" ht="22" customHeight="1">
      <x:c r="A17" s="2"/>
      <x:c r="B17" s="2"/>
      <x:c r="C17" s="2"/>
      <x:c r="D17" s="2"/>
      <x:c r="E17" s="2"/>
      <x:c r="F17" s="2"/>
    </x:row>
    <x:row r="18" ht="22" customHeight="1">
      <x:c r="A18" s="2" t="str">
        <x:v>Nível</x:v>
      </x:c>
      <x:c r="B18" s="2" t="str">
        <x:v>Descrição</x:v>
      </x:c>
      <x:c r="C18" s="2" t="str">
        <x:v>Regra vertical</x:v>
      </x:c>
      <x:c r="D18" s="2" t="str">
        <x:v>Valor (% ou R$)</x:v>
      </x:c>
      <x:c r="E18" s="2" t="str">
        <x:v>Sobre o nível</x:v>
      </x:c>
      <x:c r="F18" s="2"/>
    </x:row>
    <x:row r="19" ht="22" customHeight="1">
      <x:c r="A19" s="2" t="str">
        <x:v>I</x:v>
      </x:c>
      <x:c r="B19" s="2" t="str">
        <x:v>Parte permanente — Nível I</x:v>
      </x:c>
      <x:c r="C19" s="2" t="str">
        <x:v>base</x:v>
      </x:c>
      <x:c r="D19" s="7" t="n">
        <x:v>0</x:v>
      </x:c>
      <x:c r="E19" s="2" t="str"/>
      <x:c r="F19" s="2"/>
    </x:row>
    <x:row r="20" ht="22" customHeight="1">
      <x:c r="A20" s="2" t="str">
        <x:v>II</x:v>
      </x:c>
      <x:c r="B20" s="2" t="str">
        <x:v>Parte permanente — Nível II</x:v>
      </x:c>
      <x:c r="C20" s="2" t="str">
        <x:v>percentual</x:v>
      </x:c>
      <x:c r="D20" s="7" t="n">
        <x:v>15</x:v>
      </x:c>
      <x:c r="E20" s="2" t="str">
        <x:v>I</x:v>
      </x:c>
      <x:c r="F20" s="2"/>
    </x:row>
    <x:row r="21" ht="22" customHeight="1">
      <x:c r="A21" s="2" t="str">
        <x:v>III</x:v>
      </x:c>
      <x:c r="B21" s="2" t="str">
        <x:v>Parte permanente — Nível III</x:v>
      </x:c>
      <x:c r="C21" s="2" t="str">
        <x:v>percentual</x:v>
      </x:c>
      <x:c r="D21" s="7" t="n">
        <x:v>15</x:v>
      </x:c>
      <x:c r="E21" s="2" t="str">
        <x:v>II</x:v>
      </x:c>
      <x:c r="F21" s="2"/>
    </x:row>
    <x:row r="22" ht="22" customHeight="1">
      <x:c r="A22" s="2" t="str">
        <x:v>IV</x:v>
      </x:c>
      <x:c r="B22" s="2" t="str">
        <x:v>Parte permanente — Nível IV</x:v>
      </x:c>
      <x:c r="C22" s="2" t="str">
        <x:v>percentual</x:v>
      </x:c>
      <x:c r="D22" s="7" t="n">
        <x:v>15</x:v>
      </x:c>
      <x:c r="E22" s="2" t="str">
        <x:v>III</x:v>
      </x:c>
      <x:c r="F22" s="2"/>
    </x:row>
    <x:row r="23" ht="22" customHeight="1">
      <x:c r="A23" s="2"/>
      <x:c r="B23" s="2"/>
      <x:c r="C23" s="2"/>
      <x:c r="D23" s="2"/>
      <x:c r="E23" s="2"/>
      <x:c r="F23" s="2"/>
    </x:row>
    <x:row r="24" ht="22" customHeight="1">
      <x:c r="A24" s="2"/>
      <x:c r="B24" s="2"/>
      <x:c r="C24" s="2"/>
      <x:c r="D24" s="2"/>
      <x:c r="E24" s="2"/>
      <x:c r="F24" s="2"/>
    </x:row>
    <x:row r="25" ht="22" customHeight="1">
      <x:c r="A25" s="2"/>
      <x:c r="B25" s="2"/>
      <x:c r="C25" s="2"/>
      <x:c r="D25" s="2"/>
      <x:c r="E25" s="2"/>
      <x:c r="F25" s="2"/>
    </x:row>
    <x:row r="26" ht="22" customHeight="1">
      <x:c r="A26" s="2" t="str">
        <x:v>Classe de origem</x:v>
      </x:c>
      <x:c r="B26" s="2" t="str">
        <x:v>Classe de destino</x:v>
      </x:c>
      <x:c r="C26" s="2" t="str">
        <x:v>Progressão (%)</x:v>
      </x:c>
      <x:c r="D26" s="2"/>
      <x:c r="E26" s="2"/>
      <x:c r="F26" s="2"/>
    </x:row>
    <x:row r="27" ht="22" customHeight="1">
      <x:c r="A27" s="2" t="str">
        <x:v>I</x:v>
      </x:c>
      <x:c r="B27" s="2" t="str">
        <x:v>II</x:v>
      </x:c>
      <x:c r="C27" s="7" t="n">
        <x:v>2.8</x:v>
      </x:c>
      <x:c r="D27" s="2"/>
      <x:c r="E27" s="2"/>
      <x:c r="F27" s="2"/>
    </x:row>
    <x:row r="28" ht="22" customHeight="1">
      <x:c r="A28" s="2" t="str">
        <x:v>II</x:v>
      </x:c>
      <x:c r="B28" s="2" t="str">
        <x:v>III</x:v>
      </x:c>
      <x:c r="C28" s="7" t="n">
        <x:v>2.8</x:v>
      </x:c>
      <x:c r="D28" s="2"/>
      <x:c r="E28" s="2"/>
      <x:c r="F28" s="2"/>
    </x:row>
    <x:row r="29" ht="22" customHeight="1">
      <x:c r="A29" s="2" t="str">
        <x:v>III</x:v>
      </x:c>
      <x:c r="B29" s="2" t="str">
        <x:v>IV</x:v>
      </x:c>
      <x:c r="C29" s="7" t="n">
        <x:v>2.8</x:v>
      </x:c>
      <x:c r="D29" s="2"/>
      <x:c r="E29" s="2"/>
      <x:c r="F29" s="2"/>
    </x:row>
    <x:row r="30" ht="22" customHeight="1">
      <x:c r="A30" s="2" t="str">
        <x:v>IV</x:v>
      </x:c>
      <x:c r="B30" s="2" t="str">
        <x:v>V</x:v>
      </x:c>
      <x:c r="C30" s="7" t="n">
        <x:v>2.8</x:v>
      </x:c>
      <x:c r="D30" s="2"/>
      <x:c r="E30" s="2"/>
      <x:c r="F30" s="2"/>
    </x:row>
    <x:row r="31" ht="22" customHeight="1">
      <x:c r="A31" s="2" t="str">
        <x:v>V</x:v>
      </x:c>
      <x:c r="B31" s="2" t="str">
        <x:v>VI</x:v>
      </x:c>
      <x:c r="C31" s="7" t="n">
        <x:v>2.8</x:v>
      </x:c>
      <x:c r="D31" s="2"/>
      <x:c r="E31" s="2"/>
      <x:c r="F31" s="2"/>
    </x:row>
    <x:row r="32" ht="22" customHeight="1">
      <x:c r="A32" s="2" t="str">
        <x:v>VI</x:v>
      </x:c>
      <x:c r="B32" s="2" t="str">
        <x:v>VII</x:v>
      </x:c>
      <x:c r="C32" s="7" t="n">
        <x:v>2.8</x:v>
      </x:c>
      <x:c r="D32" s="2"/>
      <x:c r="E32" s="2"/>
      <x:c r="F32" s="2"/>
    </x:row>
    <x:row r="33" ht="22" customHeight="1">
      <x:c r="A33" s="2" t="str">
        <x:v>VII</x:v>
      </x:c>
      <x:c r="B33" s="2" t="str">
        <x:v>VIII</x:v>
      </x:c>
      <x:c r="C33" s="7" t="n">
        <x:v>2.8</x:v>
      </x:c>
      <x:c r="D33" s="2"/>
      <x:c r="E33" s="2"/>
      <x:c r="F33" s="2"/>
    </x:row>
    <x:row r="34" ht="22" customHeight="1">
      <x:c r="A34" s="2" t="str">
        <x:v>VIII</x:v>
      </x:c>
      <x:c r="B34" s="2" t="str">
        <x:v>IX</x:v>
      </x:c>
      <x:c r="C34" s="7" t="n">
        <x:v>2.8</x:v>
      </x:c>
      <x:c r="D34" s="2"/>
      <x:c r="E34" s="2"/>
      <x:c r="F34" s="2"/>
    </x:row>
    <x:row r="35" ht="22" customHeight="1">
      <x:c r="A35" s="2" t="str">
        <x:v>IX</x:v>
      </x:c>
      <x:c r="B35" s="2" t="str">
        <x:v>X</x:v>
      </x:c>
      <x:c r="C35" s="7" t="n">
        <x:v>2.8</x:v>
      </x:c>
      <x:c r="D35" s="2"/>
      <x:c r="E35" s="2"/>
      <x:c r="F35" s="2"/>
    </x:row>
    <x:row r="36" ht="22" customHeight="1">
      <x:c r="A36" s="2" t="str">
        <x:v>X</x:v>
      </x:c>
      <x:c r="B36" s="2" t="str">
        <x:v>XI</x:v>
      </x:c>
      <x:c r="C36" s="7" t="n">
        <x:v>2.8</x:v>
      </x:c>
      <x:c r="D36" s="2"/>
      <x:c r="E36" s="2"/>
      <x:c r="F36" s="2"/>
    </x:row>
    <x:row r="37" ht="22" customHeight="1">
      <x:c r="A37" s="2" t="str">
        <x:v>XI</x:v>
      </x:c>
      <x:c r="B37" s="2" t="str">
        <x:v>XII</x:v>
      </x:c>
      <x:c r="C37" s="7" t="n">
        <x:v>2.8</x:v>
      </x:c>
      <x:c r="D37" s="2"/>
      <x:c r="E37" s="2"/>
      <x:c r="F37" s="2"/>
    </x:row>
    <x:row r="38" ht="22" customHeight="1">
      <x:c r="A38" s="2" t="str">
        <x:v>XII</x:v>
      </x:c>
      <x:c r="B38" s="2" t="str">
        <x:v>XIII</x:v>
      </x:c>
      <x:c r="C38" s="7" t="n">
        <x:v>2.8</x:v>
      </x:c>
      <x:c r="D38" s="2"/>
      <x:c r="E38" s="2"/>
      <x:c r="F38" s="2"/>
    </x:row>
    <x:row r="39" ht="22" customHeight="1">
      <x:c r="A39" s="2" t="str">
        <x:v>XIII</x:v>
      </x:c>
      <x:c r="B39" s="2" t="str">
        <x:v>XIV</x:v>
      </x:c>
      <x:c r="C39" s="7" t="n">
        <x:v>2.8</x:v>
      </x:c>
      <x:c r="D39" s="2"/>
      <x:c r="E39" s="2"/>
      <x:c r="F39" s="2"/>
    </x:row>
    <x:row r="40" ht="22" customHeight="1">
      <x:c r="A40" s="2" t="str">
        <x:v>XIV</x:v>
      </x:c>
      <x:c r="B40" s="2" t="str">
        <x:v>XV</x:v>
      </x:c>
      <x:c r="C40" s="7" t="n">
        <x:v>2.8</x:v>
      </x:c>
      <x:c r="D40" s="2"/>
      <x:c r="E40" s="2"/>
      <x:c r="F40" s="2"/>
    </x:row>
    <x:row r="41" ht="22" customHeight="1">
      <x:c r="A41" s="2" t="str">
        <x:v>XV</x:v>
      </x:c>
      <x:c r="B41" s="2" t="str">
        <x:v>XVI</x:v>
      </x:c>
      <x:c r="C41" s="7" t="n">
        <x:v>2.8</x:v>
      </x:c>
      <x:c r="D41" s="2"/>
      <x:c r="E41" s="2"/>
      <x:c r="F41" s="2"/>
    </x:row>
    <x:row r="42" ht="22" customHeight="1">
      <x:c r="A42" s="2" t="str">
        <x:v>XVI</x:v>
      </x:c>
      <x:c r="B42" s="2" t="str">
        <x:v>XVII</x:v>
      </x:c>
      <x:c r="C42" s="7" t="n">
        <x:v>2.8</x:v>
      </x:c>
      <x:c r="D42" s="2"/>
      <x:c r="E42" s="2"/>
      <x:c r="F42" s="2"/>
    </x:row>
    <x:row r="43" ht="22" customHeight="1">
      <x:c r="A43" s="2" t="str">
        <x:v>XVII</x:v>
      </x:c>
      <x:c r="B43" s="2" t="str">
        <x:v>XVIII</x:v>
      </x:c>
      <x:c r="C43" s="7" t="n">
        <x:v>2.8</x:v>
      </x:c>
      <x:c r="D43" s="2"/>
      <x:c r="E43" s="2"/>
      <x:c r="F43" s="2"/>
    </x:row>
    <x:row r="44" ht="22" customHeight="1">
      <x:c r="A44" s="2" t="str">
        <x:v>XVIII</x:v>
      </x:c>
      <x:c r="B44" s="2" t="str">
        <x:v>XIX</x:v>
      </x:c>
      <x:c r="C44" s="7" t="n">
        <x:v>2.8</x:v>
      </x:c>
      <x:c r="D44" s="2"/>
      <x:c r="E44" s="2"/>
      <x:c r="F44" s="2"/>
    </x:row>
    <x:row r="45" ht="22" customHeight="1">
      <x:c r="A45" s="2" t="str">
        <x:v>XIX</x:v>
      </x:c>
      <x:c r="B45" s="2" t="str">
        <x:v>XX</x:v>
      </x:c>
      <x:c r="C45" s="7" t="n">
        <x:v>2.8</x:v>
      </x:c>
      <x:c r="D45" s="2"/>
      <x:c r="E45" s="2"/>
      <x:c r="F45" s="2"/>
    </x:row>
    <x:row r="46" ht="22" customHeight="1">
      <x:c r="A46" s="2" t="str">
        <x:v>XX</x:v>
      </x:c>
      <x:c r="B46" s="2" t="str">
        <x:v>XXI</x:v>
      </x:c>
      <x:c r="C46" s="7" t="n">
        <x:v>2.8</x:v>
      </x:c>
      <x:c r="D46" s="2"/>
      <x:c r="E46" s="2"/>
      <x:c r="F46" s="2"/>
    </x:row>
    <x:row r="47" ht="22" customHeight="1">
      <x:c r="A47" s="2" t="str">
        <x:v>XXI</x:v>
      </x:c>
      <x:c r="B47" s="2" t="str">
        <x:v>XXII</x:v>
      </x:c>
      <x:c r="C47" s="7" t="n">
        <x:v>2.8</x:v>
      </x:c>
      <x:c r="D47" s="2"/>
      <x:c r="E47" s="2"/>
      <x:c r="F47" s="2"/>
    </x:row>
    <x:row r="48" ht="22" customHeight="1">
      <x:c r="A48" s="2" t="str">
        <x:v>XXII</x:v>
      </x:c>
      <x:c r="B48" s="2" t="str">
        <x:v>XXIII</x:v>
      </x:c>
      <x:c r="C48" s="7" t="n">
        <x:v>2.8</x:v>
      </x:c>
      <x:c r="D48" s="2"/>
      <x:c r="E48" s="2"/>
      <x:c r="F48" s="2"/>
    </x:row>
    <x:row r="49" ht="22" customHeight="1">
      <x:c r="A49" s="2" t="str">
        <x:v>XXIII</x:v>
      </x:c>
      <x:c r="B49" s="2" t="str">
        <x:v>XXIV</x:v>
      </x:c>
      <x:c r="C49" s="7" t="n">
        <x:v>2.8</x:v>
      </x:c>
      <x:c r="D49" s="2"/>
      <x:c r="E49" s="2"/>
      <x:c r="F49" s="2"/>
    </x:row>
    <x:row r="50" ht="22" customHeight="1">
      <x:c r="A50" s="2" t="str">
        <x:v>XXIV</x:v>
      </x:c>
      <x:c r="B50" s="2" t="str">
        <x:v>XXV</x:v>
      </x:c>
      <x:c r="C50" s="7" t="n">
        <x:v>2.8</x:v>
      </x:c>
      <x:c r="D50" s="2"/>
      <x:c r="E50" s="2"/>
      <x:c r="F50" s="2"/>
    </x:row>
    <x:row r="51" ht="22" customHeight="1">
      <x:c r="A51" s="2" t="str">
        <x:v>XXV</x:v>
      </x:c>
      <x:c r="B51" s="2" t="str">
        <x:v>XXVI</x:v>
      </x:c>
      <x:c r="C51" s="7" t="n">
        <x:v>2.8</x:v>
      </x:c>
      <x:c r="D51" s="2"/>
      <x:c r="E51" s="2"/>
      <x:c r="F51" s="2"/>
    </x:row>
    <x:row r="52" ht="22" customHeight="1">
      <x:c r="A52" s="2" t="str">
        <x:v>XXVI</x:v>
      </x:c>
      <x:c r="B52" s="2" t="str">
        <x:v>XXVII</x:v>
      </x:c>
      <x:c r="C52" s="7" t="n">
        <x:v>2.8</x:v>
      </x:c>
      <x:c r="D52" s="2"/>
      <x:c r="E52" s="2"/>
      <x:c r="F52" s="2"/>
    </x:row>
    <x:row r="53" ht="22" customHeight="1">
      <x:c r="A53" s="2" t="str">
        <x:v>XXVII</x:v>
      </x:c>
      <x:c r="B53" s="2" t="str">
        <x:v>XXVIII</x:v>
      </x:c>
      <x:c r="C53" s="7" t="n">
        <x:v>2.8</x:v>
      </x:c>
      <x:c r="D53" s="2"/>
      <x:c r="E53" s="2"/>
      <x:c r="F53" s="2"/>
    </x:row>
    <x:row r="54" ht="22" customHeight="1">
      <x:c r="A54" s="2" t="str">
        <x:v>XXVIII</x:v>
      </x:c>
      <x:c r="B54" s="2" t="str">
        <x:v>XXIX</x:v>
      </x:c>
      <x:c r="C54" s="7" t="n">
        <x:v>2.8</x:v>
      </x:c>
      <x:c r="D54" s="2"/>
      <x:c r="E54" s="2"/>
      <x:c r="F54" s="2"/>
    </x:row>
    <x:row r="55" ht="22" customHeight="1">
      <x:c r="A55" s="2" t="str">
        <x:v>XXIX</x:v>
      </x:c>
      <x:c r="B55" s="2" t="str">
        <x:v>XXX</x:v>
      </x:c>
      <x:c r="C55" s="7" t="n">
        <x:v>2.8</x:v>
      </x:c>
      <x:c r="D55" s="2"/>
      <x:c r="E55" s="2"/>
      <x:c r="F55" s="2"/>
    </x:row>
    <x:row r="56" ht="22" customHeight="1">
      <x:c r="A56" s="2" t="str">
        <x:v>XXX</x:v>
      </x:c>
      <x:c r="B56" s="2" t="str">
        <x:v>XXXI</x:v>
      </x:c>
      <x:c r="C56" s="7" t="n">
        <x:v>2.8</x:v>
      </x:c>
      <x:c r="D56" s="2"/>
      <x:c r="E56" s="2"/>
      <x:c r="F56" s="2"/>
    </x:row>
    <x:row r="57" ht="22" customHeight="1">
      <x:c r="A57" s="2" t="str">
        <x:v>XXXI</x:v>
      </x:c>
      <x:c r="B57" s="2" t="str">
        <x:v>XXXII</x:v>
      </x:c>
      <x:c r="C57" s="7" t="n">
        <x:v>2.8</x:v>
      </x:c>
      <x:c r="D57" s="2"/>
      <x:c r="E57" s="2"/>
      <x:c r="F57" s="2"/>
    </x:row>
    <x:row r="58" ht="22" customHeight="1">
      <x:c r="A58" s="2" t="str">
        <x:v>XXXII</x:v>
      </x:c>
      <x:c r="B58" s="2" t="str">
        <x:v>XXXIII</x:v>
      </x:c>
      <x:c r="C58" s="7" t="n">
        <x:v>2.8</x:v>
      </x:c>
      <x:c r="D58" s="2"/>
      <x:c r="E58" s="2"/>
      <x:c r="F58" s="2"/>
    </x:row>
    <x:row r="59" ht="22" customHeight="1">
      <x:c r="A59" s="2" t="str">
        <x:v>XXXIII</x:v>
      </x:c>
      <x:c r="B59" s="2" t="str">
        <x:v>XXXIV</x:v>
      </x:c>
      <x:c r="C59" s="7" t="n">
        <x:v>2.8</x:v>
      </x:c>
      <x:c r="D59" s="2"/>
      <x:c r="E59" s="2"/>
      <x:c r="F59" s="2"/>
    </x:row>
    <x:row r="60" ht="22" customHeight="1">
      <x:c r="A60" s="2" t="str">
        <x:v>XXXIV</x:v>
      </x:c>
      <x:c r="B60" s="2" t="str">
        <x:v>XXXV</x:v>
      </x:c>
      <x:c r="C60" s="7" t="n">
        <x:v>2.8</x:v>
      </x:c>
      <x:c r="D60" s="2"/>
      <x:c r="E60" s="2"/>
      <x:c r="F60" s="2"/>
    </x:row>
    <x:row r="61" ht="22" customHeight="1">
      <x:c r="A61" s="2" t="str">
        <x:v>XXXV</x:v>
      </x:c>
      <x:c r="B61" s="2" t="str">
        <x:v>XXXVI</x:v>
      </x:c>
      <x:c r="C61" s="7" t="n">
        <x:v>2.8</x:v>
      </x:c>
      <x:c r="D61" s="2"/>
      <x:c r="E61" s="2"/>
      <x:c r="F61" s="2"/>
    </x:row>
    <x:row r="62" ht="22" customHeight="1">
      <x:c r="A62" s="2" t="str">
        <x:v>XXXVI</x:v>
      </x:c>
      <x:c r="B62" s="2" t="str">
        <x:v>XXXVII</x:v>
      </x:c>
      <x:c r="C62" s="7" t="n">
        <x:v>2.8</x:v>
      </x:c>
      <x:c r="D62" s="2"/>
      <x:c r="E62" s="2"/>
      <x:c r="F62" s="2"/>
    </x:row>
    <x:row r="63" ht="22" customHeight="1">
      <x:c r="A63" s="2" t="str">
        <x:v>XXXVII</x:v>
      </x:c>
      <x:c r="B63" s="2" t="str">
        <x:v>XXXVIII</x:v>
      </x:c>
      <x:c r="C63" s="7" t="n">
        <x:v>2.8</x:v>
      </x:c>
      <x:c r="D63" s="2"/>
      <x:c r="E63" s="2"/>
      <x:c r="F63" s="2"/>
    </x:row>
    <x:row r="64" ht="22" customHeight="1">
      <x:c r="A64" s="2" t="str">
        <x:v>XXXVIII</x:v>
      </x:c>
      <x:c r="B64" s="2" t="str">
        <x:v>XXXIX</x:v>
      </x:c>
      <x:c r="C64" s="7" t="n">
        <x:v>2.8</x:v>
      </x:c>
      <x:c r="D64" s="2"/>
      <x:c r="E64" s="2"/>
      <x:c r="F64" s="2"/>
    </x:row>
    <x:row r="65" ht="22" customHeight="1">
      <x:c r="A65" s="2" t="str">
        <x:v>XXXIX</x:v>
      </x:c>
      <x:c r="B65" s="2" t="str">
        <x:v>XL</x:v>
      </x:c>
      <x:c r="C65" s="7" t="n">
        <x:v>2.8</x:v>
      </x:c>
      <x:c r="D65" s="2"/>
      <x:c r="E65" s="2"/>
      <x:c r="F65" s="2"/>
    </x:row>
    <x:row r="66" ht="22" customHeight="1">
      <x:c r="A66" s="2" t="str">
        <x:v>XL</x:v>
      </x:c>
      <x:c r="B66" s="2" t="str">
        <x:v>XLI</x:v>
      </x:c>
      <x:c r="C66" s="7" t="n">
        <x:v>2.8</x:v>
      </x:c>
      <x:c r="D66" s="2"/>
      <x:c r="E66" s="2"/>
      <x:c r="F66" s="2"/>
    </x:row>
    <x:row r="67" ht="22" customHeight="1">
      <x:c r="A67" s="2" t="str">
        <x:v>XLI</x:v>
      </x:c>
      <x:c r="B67" s="2" t="str">
        <x:v>XLII</x:v>
      </x:c>
      <x:c r="C67" s="7" t="n">
        <x:v>2.8</x:v>
      </x:c>
      <x:c r="D67" s="2"/>
      <x:c r="E67" s="2"/>
      <x:c r="F67" s="2"/>
    </x:row>
    <x:row r="68" ht="22" customHeight="1">
      <x:c r="A68" s="2" t="str">
        <x:v>XLII</x:v>
      </x:c>
      <x:c r="B68" s="2" t="str">
        <x:v>XLIII</x:v>
      </x:c>
      <x:c r="C68" s="7" t="n">
        <x:v>2.8</x:v>
      </x:c>
      <x:c r="D68" s="2"/>
      <x:c r="E68" s="2"/>
      <x:c r="F68" s="2"/>
    </x:row>
    <x:row r="69" ht="22" customHeight="1">
      <x:c r="A69" s="2" t="str">
        <x:v>XLIII</x:v>
      </x:c>
      <x:c r="B69" s="2" t="str">
        <x:v>XLIV</x:v>
      </x:c>
      <x:c r="C69" s="7" t="n">
        <x:v>2.8</x:v>
      </x:c>
      <x:c r="D69" s="2"/>
      <x:c r="E69" s="2"/>
      <x:c r="F69" s="2"/>
    </x:row>
    <x:row r="70" ht="22" customHeight="1">
      <x:c r="A70" s="2" t="str">
        <x:v>XLIV</x:v>
      </x:c>
      <x:c r="B70" s="2" t="str">
        <x:v>XLV</x:v>
      </x:c>
      <x:c r="C70" s="7" t="n">
        <x:v>2.8</x:v>
      </x:c>
      <x:c r="D70" s="2"/>
      <x:c r="E70" s="2"/>
      <x:c r="F70" s="2"/>
    </x:row>
    <x:row r="71" ht="22" customHeight="1">
      <x:c r="A71" s="2" t="str">
        <x:v>XLV</x:v>
      </x:c>
      <x:c r="B71" s="2" t="str">
        <x:v>XLVI</x:v>
      </x:c>
      <x:c r="C71" s="7" t="n">
        <x:v>2.8</x:v>
      </x:c>
      <x:c r="D71" s="2"/>
      <x:c r="E71" s="2"/>
      <x:c r="F71" s="2"/>
    </x:row>
    <x:row r="72" ht="22" customHeight="1">
      <x:c r="A72" s="2"/>
      <x:c r="B72" s="2"/>
      <x:c r="C72" s="2"/>
      <x:c r="D72" s="2"/>
      <x:c r="E72" s="2"/>
      <x:c r="F72" s="2"/>
    </x:row>
    <x:row r="73" ht="22" customHeight="1">
      <x:c r="A73" s="2"/>
      <x:c r="B73" s="2"/>
      <x:c r="C73" s="2"/>
      <x:c r="D73" s="2"/>
      <x:c r="E73" s="2"/>
      <x:c r="F73" s="2"/>
    </x:row>
    <x:row r="74" ht="45" customHeight="1">
      <x:c r="A74" s="12" t="str">
        <x:v>Cenário/consultoria é uma referência analítica. PSPN é exclusivo do magistério. Alterar profissão, ano ou jornada exige revisar a referência e sua fonte.</x:v>
      </x:c>
      <x:c r="B74" s="12"/>
      <x:c r="C74" s="12"/>
      <x:c r="D74" s="12"/>
      <x:c r="E74" s="12"/>
      <x:c r="F74" s="12"/>
    </x:row>
  </x:sheetData>
  <x:mergeCells>
    <x:mergeCell ref="A1:F1"/>
    <x:mergeCell ref="A74:F74"/>
  </x:mergeCells>
  <x:dataValidations count="1">
    <x:dataValidation type="list" sqref="B12">
      <x:formula1>"arredondar,truncar"</x:formula1>
    </x:dataValidation>
  </x:dataValidations>
  <x:pageMargins left="0.7" right="0.7" top="0.75" bottom="0.75" header="0.3" footer="0.3"/>
  <x:legacyDrawing xmlns:r="http://schemas.openxmlformats.org/officeDocument/2006/relationships" r:id="R144c717029504484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5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</x:cols>
  <x:sheetData>
    <x:row r="1" ht="26" customHeight="1">
      <x:c r="A1" s="14" t="str">
        <x:v>TABELA MUNICIPAL TRANSCRITA — VALORES DE ENTRADA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</x:row>
    <x:row r="2" ht="22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</x:row>
    <x:row r="3" ht="22" customHeight="1">
      <x:c r="A3" s="2" t="str">
        <x:v>Nível</x:v>
      </x:c>
      <x:c r="B3" s="2" t="str">
        <x:v>Descrição</x:v>
      </x:c>
      <x:c r="C3" s="2" t="str">
        <x:v>Regra vertical</x:v>
      </x:c>
      <x:c r="D3" s="2" t="str">
        <x:v>I</x:v>
      </x:c>
      <x:c r="E3" s="2" t="str">
        <x:v>II</x:v>
      </x:c>
      <x:c r="F3" s="2" t="str">
        <x:v>III</x:v>
      </x:c>
      <x:c r="G3" s="2" t="str">
        <x:v>IV</x:v>
      </x:c>
      <x:c r="H3" s="2" t="str">
        <x:v>V</x:v>
      </x:c>
      <x:c r="I3" s="2" t="str">
        <x:v>VI</x:v>
      </x:c>
      <x:c r="J3" s="2" t="str">
        <x:v>VII</x:v>
      </x:c>
      <x:c r="K3" s="2" t="str">
        <x:v>VIII</x:v>
      </x:c>
      <x:c r="L3" s="2" t="str">
        <x:v>IX</x:v>
      </x:c>
      <x:c r="M3" s="2" t="str">
        <x:v>X</x:v>
      </x:c>
      <x:c r="N3" s="2" t="str">
        <x:v>XI</x:v>
      </x:c>
      <x:c r="O3" s="2" t="str">
        <x:v>XII</x:v>
      </x:c>
      <x:c r="P3" s="2" t="str">
        <x:v>XIII</x:v>
      </x:c>
      <x:c r="Q3" s="2" t="str">
        <x:v>XIV</x:v>
      </x:c>
      <x:c r="R3" s="2" t="str">
        <x:v>XV</x:v>
      </x:c>
      <x:c r="S3" s="2" t="str">
        <x:v>XVI</x:v>
      </x:c>
      <x:c r="T3" s="2" t="str">
        <x:v>XVII</x:v>
      </x:c>
      <x:c r="U3" s="2" t="str">
        <x:v>XVIII</x:v>
      </x:c>
      <x:c r="V3" s="2" t="str">
        <x:v>XIX</x:v>
      </x:c>
      <x:c r="W3" s="2" t="str">
        <x:v>XX</x:v>
      </x:c>
      <x:c r="X3" s="2" t="str">
        <x:v>XXI</x:v>
      </x:c>
      <x:c r="Y3" s="2" t="str">
        <x:v>XXII</x:v>
      </x:c>
      <x:c r="Z3" s="2" t="str">
        <x:v>XXIII</x:v>
      </x:c>
      <x:c r="AA3" s="2" t="str">
        <x:v>XXIV</x:v>
      </x:c>
      <x:c r="AB3" s="2" t="str">
        <x:v>XXV</x:v>
      </x:c>
      <x:c r="AC3" s="2" t="str">
        <x:v>XXVI</x:v>
      </x:c>
      <x:c r="AD3" s="2" t="str">
        <x:v>XXVII</x:v>
      </x:c>
      <x:c r="AE3" s="2" t="str">
        <x:v>XXVIII</x:v>
      </x:c>
      <x:c r="AF3" s="2" t="str">
        <x:v>XXIX</x:v>
      </x:c>
      <x:c r="AG3" s="2" t="str">
        <x:v>XXX</x:v>
      </x:c>
      <x:c r="AH3" s="2" t="str">
        <x:v>XXXI</x:v>
      </x:c>
      <x:c r="AI3" s="2" t="str">
        <x:v>XXXII</x:v>
      </x:c>
      <x:c r="AJ3" s="2" t="str">
        <x:v>XXXIII</x:v>
      </x:c>
      <x:c r="AK3" s="2" t="str">
        <x:v>XXXIV</x:v>
      </x:c>
      <x:c r="AL3" s="2" t="str">
        <x:v>XXXV</x:v>
      </x:c>
      <x:c r="AM3" s="2" t="str">
        <x:v>XXXVI</x:v>
      </x:c>
      <x:c r="AN3" s="2" t="str">
        <x:v>XXXVII</x:v>
      </x:c>
      <x:c r="AO3" s="2" t="str">
        <x:v>XXXVIII</x:v>
      </x:c>
      <x:c r="AP3" s="2" t="str">
        <x:v>XXXIX</x:v>
      </x:c>
      <x:c r="AQ3" s="2" t="str">
        <x:v>XL</x:v>
      </x:c>
      <x:c r="AR3" s="2" t="str">
        <x:v>XLI</x:v>
      </x:c>
      <x:c r="AS3" s="2" t="str">
        <x:v>XLII</x:v>
      </x:c>
      <x:c r="AT3" s="2" t="str">
        <x:v>XLIII</x:v>
      </x:c>
      <x:c r="AU3" s="2" t="str">
        <x:v>XLIV</x:v>
      </x:c>
      <x:c r="AV3" s="2" t="str">
        <x:v>XLV</x:v>
      </x:c>
      <x:c r="AW3" s="2" t="str">
        <x:v>XLVI</x:v>
      </x:c>
    </x:row>
    <x:row r="4" ht="22" customHeight="1">
      <x:c r="A4" s="2" t="str">
        <x:v>I</x:v>
      </x:c>
      <x:c r="B4" s="2" t="str">
        <x:v>Parte permanente — Nível I</x:v>
      </x:c>
      <x:c r="C4" s="2" t="str">
        <x:v>base</x:v>
      </x:c>
      <x:c r="D4" s="74" t="n">
        <x:v>2180.44</x:v>
      </x:c>
      <x:c r="E4" s="74" t="n">
        <x:v>2241.49</x:v>
      </x:c>
      <x:c r="F4" s="74" t="n">
        <x:v>2304.25</x:v>
      </x:c>
      <x:c r="G4" s="74" t="n">
        <x:v>2368.77</x:v>
      </x:c>
      <x:c r="H4" s="74" t="n">
        <x:v>2435.1</x:v>
      </x:c>
      <x:c r="I4" s="74" t="n">
        <x:v>2503.28</x:v>
      </x:c>
      <x:c r="J4" s="74" t="n">
        <x:v>2573.37</x:v>
      </x:c>
      <x:c r="K4" s="74" t="n">
        <x:v>2645.43</x:v>
      </x:c>
      <x:c r="L4" s="74" t="n">
        <x:v>2719.5</x:v>
      </x:c>
      <x:c r="M4" s="74" t="n">
        <x:v>2795.65</x:v>
      </x:c>
      <x:c r="N4" s="74" t="n">
        <x:v>2873.93</x:v>
      </x:c>
      <x:c r="O4" s="74" t="n">
        <x:v>2954.39</x:v>
      </x:c>
      <x:c r="P4" s="74" t="n">
        <x:v>3037.12</x:v>
      </x:c>
      <x:c r="Q4" s="74" t="n">
        <x:v>3122.16</x:v>
      </x:c>
      <x:c r="R4" s="74" t="n">
        <x:v>3209.58</x:v>
      </x:c>
      <x:c r="S4" s="74" t="n">
        <x:v>3299.45</x:v>
      </x:c>
      <x:c r="T4" s="74" t="n">
        <x:v>3391.83</x:v>
      </x:c>
      <x:c r="U4" s="74" t="n">
        <x:v>3486.8</x:v>
      </x:c>
      <x:c r="V4" s="74" t="n">
        <x:v>3584.43</x:v>
      </x:c>
      <x:c r="W4" s="74" t="n">
        <x:v>3684.8</x:v>
      </x:c>
      <x:c r="X4" s="74" t="n">
        <x:v>3787.97</x:v>
      </x:c>
      <x:c r="Y4" s="74" t="n">
        <x:v>3894.03</x:v>
      </x:c>
      <x:c r="Z4" s="74" t="n">
        <x:v>4003.07</x:v>
      </x:c>
      <x:c r="AA4" s="74" t="n">
        <x:v>4115.15</x:v>
      </x:c>
      <x:c r="AB4" s="74" t="n">
        <x:v>4230.38</x:v>
      </x:c>
      <x:c r="AC4" s="74" t="n">
        <x:v>4348.83</x:v>
      </x:c>
      <x:c r="AD4" s="74" t="n">
        <x:v>4470.59</x:v>
      </x:c>
      <x:c r="AE4" s="74" t="n">
        <x:v>4595.77</x:v>
      </x:c>
      <x:c r="AF4" s="74" t="n">
        <x:v>4724.45</x:v>
      </x:c>
      <x:c r="AG4" s="74" t="n">
        <x:v>4856.74</x:v>
      </x:c>
      <x:c r="AH4" s="74" t="n">
        <x:v>4992.73</x:v>
      </x:c>
      <x:c r="AI4" s="74" t="n">
        <x:v>5132.52</x:v>
      </x:c>
      <x:c r="AJ4" s="74" t="n">
        <x:v>5276.23</x:v>
      </x:c>
      <x:c r="AK4" s="74" t="n">
        <x:v>5423.97</x:v>
      </x:c>
      <x:c r="AL4" s="74" t="n">
        <x:v>5575.84</x:v>
      </x:c>
      <x:c r="AM4" s="74" t="n">
        <x:v>5731.96</x:v>
      </x:c>
      <x:c r="AN4" s="74" t="n">
        <x:v>5892.46</x:v>
      </x:c>
      <x:c r="AO4" s="74" t="n">
        <x:v>6057.45</x:v>
      </x:c>
      <x:c r="AP4" s="74" t="n">
        <x:v>6227.05</x:v>
      </x:c>
      <x:c r="AQ4" s="74" t="n">
        <x:v>6401.41</x:v>
      </x:c>
      <x:c r="AR4" s="74" t="n">
        <x:v>6580.65</x:v>
      </x:c>
      <x:c r="AS4" s="74" t="n">
        <x:v>6764.91</x:v>
      </x:c>
      <x:c r="AT4" s="74" t="n">
        <x:v>6954.33</x:v>
      </x:c>
      <x:c r="AU4" s="74" t="n">
        <x:v>7149.05</x:v>
      </x:c>
      <x:c r="AV4" s="74" t="n">
        <x:v>7349.22</x:v>
      </x:c>
      <x:c r="AW4" s="74" t="n">
        <x:v>7555</x:v>
      </x:c>
    </x:row>
    <x:row r="5" ht="22" customHeight="1">
      <x:c r="A5" s="2" t="str">
        <x:v>II</x:v>
      </x:c>
      <x:c r="B5" s="2" t="str">
        <x:v>Parte permanente — Nível II</x:v>
      </x:c>
      <x:c r="C5" s="2" t="str">
        <x:v>percentual</x:v>
      </x:c>
      <x:c r="D5" s="74" t="n">
        <x:v>2507.51</x:v>
      </x:c>
      <x:c r="E5" s="74" t="n">
        <x:v>2577.72</x:v>
      </x:c>
      <x:c r="F5" s="74" t="n">
        <x:v>2649.89</x:v>
      </x:c>
      <x:c r="G5" s="74" t="n">
        <x:v>2724.09</x:v>
      </x:c>
      <x:c r="H5" s="74" t="n">
        <x:v>2800.36</x:v>
      </x:c>
      <x:c r="I5" s="74" t="n">
        <x:v>2878.77</x:v>
      </x:c>
      <x:c r="J5" s="74" t="n">
        <x:v>2959.38</x:v>
      </x:c>
      <x:c r="K5" s="74" t="n">
        <x:v>3042.24</x:v>
      </x:c>
      <x:c r="L5" s="74" t="n">
        <x:v>3127.43</x:v>
      </x:c>
      <x:c r="M5" s="74" t="n">
        <x:v>3214.99</x:v>
      </x:c>
      <x:c r="N5" s="74" t="n">
        <x:v>3305.01</x:v>
      </x:c>
      <x:c r="O5" s="74" t="n">
        <x:v>3397.55</x:v>
      </x:c>
      <x:c r="P5" s="74" t="n">
        <x:v>3492.69</x:v>
      </x:c>
      <x:c r="Q5" s="74" t="n">
        <x:v>3590.48</x:v>
      </x:c>
      <x:c r="R5" s="74" t="n">
        <x:v>3691.01</x:v>
      </x:c>
      <x:c r="S5" s="74" t="n">
        <x:v>3794.36</x:v>
      </x:c>
      <x:c r="T5" s="74" t="n">
        <x:v>3900.6</x:v>
      </x:c>
      <x:c r="U5" s="74" t="n">
        <x:v>4009.82</x:v>
      </x:c>
      <x:c r="V5" s="74" t="n">
        <x:v>4122.1</x:v>
      </x:c>
      <x:c r="W5" s="74" t="n">
        <x:v>4237.52</x:v>
      </x:c>
      <x:c r="X5" s="74" t="n">
        <x:v>4356.17</x:v>
      </x:c>
      <x:c r="Y5" s="74" t="n">
        <x:v>4478.14</x:v>
      </x:c>
      <x:c r="Z5" s="74" t="n">
        <x:v>4603.53</x:v>
      </x:c>
      <x:c r="AA5" s="74" t="n">
        <x:v>4732.43</x:v>
      </x:c>
      <x:c r="AB5" s="74" t="n">
        <x:v>4864.93</x:v>
      </x:c>
      <x:c r="AC5" s="74" t="n">
        <x:v>5001.15</x:v>
      </x:c>
      <x:c r="AD5" s="74" t="n">
        <x:v>5141.18</x:v>
      </x:c>
      <x:c r="AE5" s="74" t="n">
        <x:v>5285.14</x:v>
      </x:c>
      <x:c r="AF5" s="74" t="n">
        <x:v>5433.12</x:v>
      </x:c>
      <x:c r="AG5" s="74" t="n">
        <x:v>5585.25</x:v>
      </x:c>
      <x:c r="AH5" s="74" t="n">
        <x:v>5741.63</x:v>
      </x:c>
      <x:c r="AI5" s="74" t="n">
        <x:v>5902.4</x:v>
      </x:c>
      <x:c r="AJ5" s="74" t="n">
        <x:v>6067.67</x:v>
      </x:c>
      <x:c r="AK5" s="74" t="n">
        <x:v>6237.56</x:v>
      </x:c>
      <x:c r="AL5" s="74" t="n">
        <x:v>6412.21</x:v>
      </x:c>
      <x:c r="AM5" s="74" t="n">
        <x:v>6591.76</x:v>
      </x:c>
      <x:c r="AN5" s="74" t="n">
        <x:v>6776.32</x:v>
      </x:c>
      <x:c r="AO5" s="74" t="n">
        <x:v>6966.06</x:v>
      </x:c>
      <x:c r="AP5" s="74" t="n">
        <x:v>7161.11</x:v>
      </x:c>
      <x:c r="AQ5" s="74" t="n">
        <x:v>7361.62</x:v>
      </x:c>
      <x:c r="AR5" s="74" t="n">
        <x:v>7567.75</x:v>
      </x:c>
      <x:c r="AS5" s="74" t="n">
        <x:v>7779.65</x:v>
      </x:c>
      <x:c r="AT5" s="74" t="n">
        <x:v>7997.48</x:v>
      </x:c>
      <x:c r="AU5" s="74" t="n">
        <x:v>8221.4</x:v>
      </x:c>
      <x:c r="AV5" s="74" t="n">
        <x:v>8451.6</x:v>
      </x:c>
      <x:c r="AW5" s="74" t="n">
        <x:v>8688.25</x:v>
      </x:c>
    </x:row>
    <x:row r="6" ht="22" customHeight="1">
      <x:c r="A6" s="2" t="str">
        <x:v>III</x:v>
      </x:c>
      <x:c r="B6" s="2" t="str">
        <x:v>Parte permanente — Nível III</x:v>
      </x:c>
      <x:c r="C6" s="2" t="str">
        <x:v>percentual</x:v>
      </x:c>
      <x:c r="D6" s="74" t="n">
        <x:v>2883.63</x:v>
      </x:c>
      <x:c r="E6" s="74" t="n">
        <x:v>2964.37</x:v>
      </x:c>
      <x:c r="F6" s="74" t="n">
        <x:v>3047.38</x:v>
      </x:c>
      <x:c r="G6" s="74" t="n">
        <x:v>3132.7</x:v>
      </x:c>
      <x:c r="H6" s="74" t="n">
        <x:v>3220.42</x:v>
      </x:c>
      <x:c r="I6" s="74" t="n">
        <x:v>3310.59</x:v>
      </x:c>
      <x:c r="J6" s="74" t="n">
        <x:v>3403.29</x:v>
      </x:c>
      <x:c r="K6" s="74" t="n">
        <x:v>3498.58</x:v>
      </x:c>
      <x:c r="L6" s="74" t="n">
        <x:v>3596.54</x:v>
      </x:c>
      <x:c r="M6" s="74" t="n">
        <x:v>3697.24</x:v>
      </x:c>
      <x:c r="N6" s="74" t="n">
        <x:v>3800.77</x:v>
      </x:c>
      <x:c r="O6" s="74" t="n">
        <x:v>3907.19</x:v>
      </x:c>
      <x:c r="P6" s="74" t="n">
        <x:v>4016.59</x:v>
      </x:c>
      <x:c r="Q6" s="74" t="n">
        <x:v>4129.05</x:v>
      </x:c>
      <x:c r="R6" s="74" t="n">
        <x:v>4244.67</x:v>
      </x:c>
      <x:c r="S6" s="74" t="n">
        <x:v>4363.52</x:v>
      </x:c>
      <x:c r="T6" s="74" t="n">
        <x:v>4485.7</x:v>
      </x:c>
      <x:c r="U6" s="74" t="n">
        <x:v>4611.3</x:v>
      </x:c>
      <x:c r="V6" s="74" t="n">
        <x:v>4740.41</x:v>
      </x:c>
      <x:c r="W6" s="74" t="n">
        <x:v>4873.14</x:v>
      </x:c>
      <x:c r="X6" s="74" t="n">
        <x:v>5009.59</x:v>
      </x:c>
      <x:c r="Y6" s="74" t="n">
        <x:v>5149.86</x:v>
      </x:c>
      <x:c r="Z6" s="74" t="n">
        <x:v>5294.06</x:v>
      </x:c>
      <x:c r="AA6" s="74" t="n">
        <x:v>5442.29</x:v>
      </x:c>
      <x:c r="AB6" s="74" t="n">
        <x:v>5594.67</x:v>
      </x:c>
      <x:c r="AC6" s="74" t="n">
        <x:v>5751.32</x:v>
      </x:c>
      <x:c r="AD6" s="74" t="n">
        <x:v>5912.36</x:v>
      </x:c>
      <x:c r="AE6" s="74" t="n">
        <x:v>6077.91</x:v>
      </x:c>
      <x:c r="AF6" s="74" t="n">
        <x:v>6248.09</x:v>
      </x:c>
      <x:c r="AG6" s="74" t="n">
        <x:v>6423.04</x:v>
      </x:c>
      <x:c r="AH6" s="74" t="n">
        <x:v>6602.88</x:v>
      </x:c>
      <x:c r="AI6" s="74" t="n">
        <x:v>6787.76</x:v>
      </x:c>
      <x:c r="AJ6" s="74" t="n">
        <x:v>6977.82</x:v>
      </x:c>
      <x:c r="AK6" s="74" t="n">
        <x:v>7173.2</x:v>
      </x:c>
      <x:c r="AL6" s="74" t="n">
        <x:v>7374.05</x:v>
      </x:c>
      <x:c r="AM6" s="74" t="n">
        <x:v>7580.52</x:v>
      </x:c>
      <x:c r="AN6" s="74" t="n">
        <x:v>7792.77</x:v>
      </x:c>
      <x:c r="AO6" s="74" t="n">
        <x:v>8010.97</x:v>
      </x:c>
      <x:c r="AP6" s="74" t="n">
        <x:v>8235.28</x:v>
      </x:c>
      <x:c r="AQ6" s="74" t="n">
        <x:v>8465.87</x:v>
      </x:c>
      <x:c r="AR6" s="74" t="n">
        <x:v>8702.91</x:v>
      </x:c>
      <x:c r="AS6" s="74" t="n">
        <x:v>8946.59</x:v>
      </x:c>
      <x:c r="AT6" s="74" t="n">
        <x:v>9197.1</x:v>
      </x:c>
      <x:c r="AU6" s="74" t="n">
        <x:v>9454.62</x:v>
      </x:c>
      <x:c r="AV6" s="74" t="n">
        <x:v>9719.35</x:v>
      </x:c>
      <x:c r="AW6" s="74" t="n">
        <x:v>9991.49</x:v>
      </x:c>
    </x:row>
    <x:row r="7" ht="22" customHeight="1">
      <x:c r="A7" s="2" t="str">
        <x:v>IV</x:v>
      </x:c>
      <x:c r="B7" s="2" t="str">
        <x:v>Parte permanente — Nível IV</x:v>
      </x:c>
      <x:c r="C7" s="2" t="str">
        <x:v>percentual</x:v>
      </x:c>
      <x:c r="D7" s="74" t="n">
        <x:v>3316.18</x:v>
      </x:c>
      <x:c r="E7" s="74" t="n">
        <x:v>3409.03</x:v>
      </x:c>
      <x:c r="F7" s="74" t="n">
        <x:v>3504.48</x:v>
      </x:c>
      <x:c r="G7" s="74" t="n">
        <x:v>3602.61</x:v>
      </x:c>
      <x:c r="H7" s="74" t="n">
        <x:v>3703.48</x:v>
      </x:c>
      <x:c r="I7" s="74" t="n">
        <x:v>3807.18</x:v>
      </x:c>
      <x:c r="J7" s="74" t="n">
        <x:v>3913.78</x:v>
      </x:c>
      <x:c r="K7" s="74" t="n">
        <x:v>4023.37</x:v>
      </x:c>
      <x:c r="L7" s="74" t="n">
        <x:v>4136.02</x:v>
      </x:c>
      <x:c r="M7" s="74" t="n">
        <x:v>4251.83</x:v>
      </x:c>
      <x:c r="N7" s="74" t="n">
        <x:v>4370.88</x:v>
      </x:c>
      <x:c r="O7" s="74" t="n">
        <x:v>4493.27</x:v>
      </x:c>
      <x:c r="P7" s="74" t="n">
        <x:v>4619.08</x:v>
      </x:c>
      <x:c r="Q7" s="74" t="n">
        <x:v>4748.41</x:v>
      </x:c>
      <x:c r="R7" s="74" t="n">
        <x:v>4881.37</x:v>
      </x:c>
      <x:c r="S7" s="74" t="n">
        <x:v>5018.04</x:v>
      </x:c>
      <x:c r="T7" s="74" t="n">
        <x:v>5158.55</x:v>
      </x:c>
      <x:c r="U7" s="74" t="n">
        <x:v>5302.99</x:v>
      </x:c>
      <x:c r="V7" s="74" t="n">
        <x:v>5451.47</x:v>
      </x:c>
      <x:c r="W7" s="74" t="n">
        <x:v>5604.11</x:v>
      </x:c>
      <x:c r="X7" s="74" t="n">
        <x:v>5761.03</x:v>
      </x:c>
      <x:c r="Y7" s="74" t="n">
        <x:v>5922.34</x:v>
      </x:c>
      <x:c r="Z7" s="74" t="n">
        <x:v>6088.16</x:v>
      </x:c>
      <x:c r="AA7" s="74" t="n">
        <x:v>6258.63</x:v>
      </x:c>
      <x:c r="AB7" s="74" t="n">
        <x:v>6433.87</x:v>
      </x:c>
      <x:c r="AC7" s="74" t="n">
        <x:v>6614.02</x:v>
      </x:c>
      <x:c r="AD7" s="74" t="n">
        <x:v>6799.22</x:v>
      </x:c>
      <x:c r="AE7" s="74" t="n">
        <x:v>6989.59</x:v>
      </x:c>
      <x:c r="AF7" s="74" t="n">
        <x:v>7185.3</x:v>
      </x:c>
      <x:c r="AG7" s="74" t="n">
        <x:v>7386.49</x:v>
      </x:c>
      <x:c r="AH7" s="74" t="n">
        <x:v>7593.31</x:v>
      </x:c>
      <x:c r="AI7" s="74" t="n">
        <x:v>7805.92</x:v>
      </x:c>
      <x:c r="AJ7" s="74" t="n">
        <x:v>8024.49</x:v>
      </x:c>
      <x:c r="AK7" s="74" t="n">
        <x:v>8249.18</x:v>
      </x:c>
      <x:c r="AL7" s="74" t="n">
        <x:v>8480.15</x:v>
      </x:c>
      <x:c r="AM7" s="74" t="n">
        <x:v>8717.6</x:v>
      </x:c>
      <x:c r="AN7" s="74" t="n">
        <x:v>8961.69</x:v>
      </x:c>
      <x:c r="AO7" s="74" t="n">
        <x:v>9212.62</x:v>
      </x:c>
      <x:c r="AP7" s="74" t="n">
        <x:v>9470.57</x:v>
      </x:c>
      <x:c r="AQ7" s="74" t="n">
        <x:v>9735.75</x:v>
      </x:c>
      <x:c r="AR7" s="74" t="n">
        <x:v>10008.35</x:v>
      </x:c>
      <x:c r="AS7" s="74" t="n">
        <x:v>10288.58</x:v>
      </x:c>
      <x:c r="AT7" s="74" t="n">
        <x:v>10576.66</x:v>
      </x:c>
      <x:c r="AU7" s="74" t="n">
        <x:v>10872.81</x:v>
      </x:c>
      <x:c r="AV7" s="74" t="n">
        <x:v>11177.25</x:v>
      </x:c>
      <x:c r="AW7" s="74" t="n">
        <x:v>11490.21</x:v>
      </x:c>
    </x:row>
  </x:sheetData>
  <x:mergeCells>
    <x:mergeCell ref="A1:R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90" hidden="0" customWidth="1"/>
    <x:col min="3" max="3" width="25" hidden="0" customWidth="1"/>
  </x:cols>
  <x:sheetData>
    <x:row r="1" ht="26" customHeight="1">
      <x:c r="A1" s="32" t="str">
        <x:v>FONTES E DECISÕES ADOTADAS</x:v>
      </x:c>
      <x:c r="B1" s="32"/>
      <x:c r="C1" s="32"/>
    </x:row>
    <x:row r="2" ht="22" customHeight="1">
      <x:c r="A2" s="2"/>
      <x:c r="B2" s="2"/>
      <x:c r="C2" s="2"/>
    </x:row>
    <x:row r="3" ht="48" customHeight="1">
      <x:c r="A3" s="75" t="str">
        <x:v>Organização</x:v>
      </x:c>
      <x:c r="B3" s="75" t="str">
        <x:v>Jornada (2).pdf, páginas impressas 9–11: estrutura, atual verde, referência roxa, não conformidades, diferenças e defasagem em vermelho.</x:v>
      </x:c>
      <x:c r="C3" s="75"/>
    </x:row>
    <x:row r="4" ht="48" customHeight="1">
      <x:c r="A4" s="75" t="str">
        <x:v>Tabela municipal</x:v>
      </x:c>
      <x:c r="B4" s="75" t="str">
        <x:v>curitiba.pdf, página 2 (Anexo B1)</x:v>
      </x:c>
      <x:c r="C4" s="75"/>
    </x:row>
    <x:row r="5" ht="48" customHeight="1">
      <x:c r="A5" s="75" t="str">
        <x:v>URL tabela</x:v>
      </x:c>
      <x:c r="B5" s="75" t="str">
        <x:v>https://mid-transparencia.curitiba.pr.gov.br/funcionarios/ano_2026_tabelas_salariais_20260204.pdf</x:v>
      </x:c>
      <x:c r="C5" s="75"/>
    </x:row>
    <x:row r="6" ht="48" customHeight="1">
      <x:c r="A6" s="75" t="str">
        <x:v>Referência</x:v>
      </x:c>
      <x:c r="B6" s="75" t="str">
        <x:v>Hipótese de teste definida pela equipe: 2.180,44 × 1,05. Não é piso legal nem proposta aprovada.</x:v>
      </x:c>
      <x:c r="C6" s="75"/>
    </x:row>
    <x:row r="7" ht="48" customHeight="1">
      <x:c r="A7" s="75" t="str">
        <x:v>URL referência</x:v>
      </x:c>
      <x:c r="B7" s="75" t="str"/>
      <x:c r="C7" s="75"/>
    </x:row>
    <x:row r="8" ht="48" customHeight="1">
      <x:c r="A8" s="75" t="str">
        <x:v>Centavos</x:v>
      </x:c>
      <x:c r="B8" s="75" t="str">
        <x:v>arredondar em cada etapa. Padrão geral: arredondar. Cafezal: truncar para reproduzir o anexo.</x:v>
      </x:c>
      <x:c r="C8" s="75"/>
    </x:row>
    <x:row r="9" ht="48" customHeight="1">
      <x:c r="A9" s="75" t="str">
        <x:v>Vigência</x:v>
      </x:c>
      <x:c r="B9" s="75" t="str">
        <x:v>2026; não pressupõe que a tabela histórica seja a mais recente.</x:v>
      </x:c>
      <x:c r="C9" s="75"/>
    </x:row>
    <x:row r="10" ht="48" customHeight="1">
      <x:c r="A10" s="75" t="str">
        <x:v>Regra da defasagem</x:v>
      </x:c>
      <x:c r="B10" s="75" t="str">
        <x:v>(referência / atual - 1) × 100; o destaque usa a classe inicial, conforme o exemplo.</x:v>
      </x:c>
      <x:c r="C10" s="75"/>
    </x:row>
    <x:row r="11" ht="48" customHeight="1">
      <x:c r="A11" s="75" t="str">
        <x:v>Valores atuais</x:v>
      </x:c>
      <x:c r="B11" s="75" t="str">
        <x:v>Transcritos do documento. Permanecem preservados; somente referências são calculadas.</x:v>
      </x:c>
      <x:c r="C11" s="75"/>
    </x:row>
    <x:row r="12" ht="48" customHeight="1">
      <x:c r="A12" s="75" t="str">
        <x:v>Uso da referência</x:v>
      </x:c>
      <x:c r="B12" s="75" t="str">
        <x:v>cenario: Cenário didático: base inicial +5%</x:v>
      </x:c>
      <x:c r="C12" s="75"/>
    </x:row>
    <x:row r="13" ht="48" customHeight="1">
      <x:c r="A13" s="75" t="str">
        <x:v>Cores de alerta</x:v>
      </x:c>
      <x:c r="B13" s="75" t="str">
        <x:v>Vermelho na tabela atual: vencimento abaixo da base de referência. Diferenças da carreira: atual menos referência.</x:v>
      </x:c>
      <x:c r="C13" s="75"/>
    </x:row>
    <x:row r="14" ht="48" customHeight="1">
      <x:c r="A14" s="75" t="str">
        <x:v>Edição posterior</x:v>
      </x:c>
      <x:c r="B14" s="75" t="str">
        <x:v>Ajuste valores, modo e progressões em Parâmetros/Dados originais. Mudança de fonte, profissão, vigência ou quantidade de classes: regenere pelo sistema.</x:v>
      </x:c>
      <x:c r="C14" s="75"/>
    </x:row>
    <x:row r="15" ht="48" customHeight="1">
      <x:c r="A15" s="75" t="str">
        <x:v>Observação ao gerar</x:v>
      </x:c>
      <x:c r="B15" s="75" t="str">
        <x:v>Tabela oficial de janeiro de 2026; não foi confirmada publicação posterior.</x:v>
      </x:c>
      <x:c r="C15" s="75"/>
    </x:row>
    <x:row r="16" ht="48" customHeight="1">
      <x:c r="A16" s="75" t="str">
        <x:v>Observação ao gerar</x:v>
      </x:c>
      <x:c r="B16" s="75" t="str">
        <x:v>Recorte completo da parte permanente do Anexo B1: 4 níveis e 46 referências. Parte especial excluída explicitamente por ter enquadramento distinto.</x:v>
      </x:c>
      <x:c r="C16" s="75"/>
    </x:row>
    <x:row r="17" ht="48" customHeight="1">
      <x:c r="A17" s="75" t="str">
        <x:v>Observação ao gerar</x:v>
      </x:c>
      <x:c r="B17" s="75" t="str">
        <x:v>Progressão horizontal de 2,8% e vertical de 15% inferidas matematicamente para testar o fluxo; a lei deve validar sua aplicação.</x:v>
      </x:c>
      <x:c r="C17" s="75"/>
    </x:row>
    <x:row r="18" ht="48" customHeight="1">
      <x:c r="A18" s="75" t="str">
        <x:v>Observação ao gerar</x:v>
      </x:c>
      <x:c r="B18" s="75" t="str">
        <x:v>O arredondamento comercial foi aplicado em cada etapa; ele pode divergir em centavos de tabelas municipais que usam truncamento.</x:v>
      </x:c>
      <x:c r="C18" s="75"/>
    </x:row>
    <x:row r="19" ht="48" customHeight="1">
      <x:c r="A19" s="75" t="str">
        <x:v>Observação ao gerar</x:v>
      </x:c>
      <x:c r="B19" s="75" t="str">
        <x:v>As progressões entre classes foram inferidas matematicamente; confirme cada percentual na lei municipal.</x:v>
      </x:c>
      <x:c r="C19" s="75"/>
    </x:row>
    <x:row r="20" ht="48" customHeight="1">
      <x:c r="A20" s="75" t="str">
        <x:v>Observação ao gerar</x:v>
      </x:c>
      <x:c r="B20" s="75" t="str">
        <x:v>Referência de consultoria/cenário: diferenças não representam descumprimento de piso legal.</x:v>
      </x:c>
      <x:c r="C20" s="75"/>
    </x:row>
    <x:row r="21" ht="48" customHeight="1">
      <x:c r="A21" s="75" t="str">
        <x:v>Observação ao gerar</x:v>
      </x:c>
      <x:c r="B21" s="75" t="str">
        <x:v>A referência aplica as regras de carreira informadas; divergências numéricas não constituem parecer jurídico.</x:v>
      </x:c>
      <x:c r="C21" s="75"/>
    </x:row>
  </x:sheetData>
  <x:mergeCells>
    <x:mergeCell ref="A1:C1"/>
  </x:mergeCells>
  <x:pageMargins left="0.7" right="0.7" top="0.75" bottom="0.75" header="0.3" footer="0.3"/>
</x:worksheet>
</file>