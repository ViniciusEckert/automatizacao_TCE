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cf49d653f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f36f6016e234489"/>
    <x:sheet xmlns:r="http://schemas.openxmlformats.org/officeDocument/2006/relationships" name="Fontes" sheetId="2" r:id="Re07585bb2d24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00%"/>
    <x:numFmt numFmtId="202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B5563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4B5563"/>
      <x:name val="Carlito"/>
    </x:font>
    <x:font>
      <x:i/>
      <x:sz val="11"/>
      <x:color rgb="FF14532D"/>
      <x:name val="Carlito"/>
    </x:font>
    <x:font>
      <x:b/>
      <x:sz val="11"/>
      <x:color rgb="FFFFFFFF"/>
      <x:name val="Aptos"/>
    </x:font>
    <x:font>
      <x:sz val="11"/>
      <x:color rgb="FF4B55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F3F4F6"/>
      </x:patternFill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</x:fills>
  <x:borders count="1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  <x:border>
      <x:left style="medium">
        <x:color rgb="FF166534"/>
      </x:left>
      <x:right style="medium">
        <x:color rgb="FF166534"/>
      </x:right>
      <x:top style="medium">
        <x:color rgb="FF166534"/>
      </x:top>
      <x:bottom style="medium">
        <x:color rgb="FF166534"/>
      </x:bottom>
    </x:border>
    <x:border>
      <x:left style="thin">
        <x:color rgb="FF86EFAC"/>
      </x:left>
      <x:top style="thin">
        <x:color rgb="FF86EFAC"/>
      </x:top>
    </x:border>
    <x:border>
      <x:top style="thin">
        <x:color rgb="FF86EFAC"/>
      </x:top>
    </x:border>
    <x:border>
      <x:right style="thin">
        <x:color rgb="FF86EFAC"/>
      </x:right>
      <x:top style="thin">
        <x:color rgb="FF86EFAC"/>
      </x:top>
    </x:border>
    <x:border>
      <x:left style="thin">
        <x:color rgb="FF86EFAC"/>
      </x:left>
      <x:bottom style="thin">
        <x:color rgb="FF86EFAC"/>
      </x:bottom>
    </x:border>
    <x:border>
      <x:bottom style="thin">
        <x:color rgb="FF86EFAC"/>
      </x:bottom>
    </x:border>
    <x:border>
      <x:right style="thin">
        <x:color rgb="FF86EFAC"/>
      </x:right>
      <x:bottom style="thin">
        <x:color rgb="FF86EFAC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202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13" xfId="0" applyNumberFormat="1" applyFont="1" applyFill="1" applyBorder="1"/>
    <x:xf numFmtId="0" fontId="9" fillId="3" borderId="14" xfId="0" applyNumberFormat="1" applyFont="1" applyFill="1" applyBorder="1"/>
    <x:xf numFmtId="0" fontId="9" fillId="3" borderId="15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wrapText="1"/>
    </x:xf>
    <x:xf numFmtId="0" fontId="9" fillId="3" borderId="13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14" xfId="0" applyNumberFormat="1" applyFont="1" applyFill="1" applyBorder="1" applyAlignment="1">
      <x:alignment wrapText="1"/>
    </x:xf>
    <x:xf numFmtId="0" fontId="9" fillId="3" borderId="15" xfId="0" applyNumberFormat="1" applyFont="1" applyFill="1" applyBorder="1" applyAlignment="1">
      <x:alignment wrapText="1"/>
    </x:xf>
    <x:xf numFmtId="0" fontId="9" fillId="3" borderId="16" xfId="0" applyNumberFormat="1" applyFont="1" applyFill="1" applyBorder="1" applyAlignment="1">
      <x:alignment wrapText="1"/>
    </x:xf>
    <x:xf numFmtId="0" fontId="9" fillId="3" borderId="17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9" fillId="3" borderId="12" xfId="0" applyNumberFormat="1" applyFont="1" applyFill="1" applyBorder="1" applyAlignment="1">
      <x:alignment vertical="center" wrapText="1"/>
    </x:xf>
    <x:xf numFmtId="0" fontId="9" fillId="3" borderId="13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4" xfId="0" applyNumberFormat="1" applyFont="1" applyFill="1" applyBorder="1" applyAlignment="1">
      <x:alignment vertical="center" wrapText="1"/>
    </x:xf>
    <x:xf numFmtId="0" fontId="9" fillId="3" borderId="15" xfId="0" applyNumberFormat="1" applyFont="1" applyFill="1" applyBorder="1" applyAlignment="1">
      <x:alignment vertical="center" wrapText="1"/>
    </x:xf>
    <x:xf numFmtId="0" fontId="9" fillId="3" borderId="16" xfId="0" applyNumberFormat="1" applyFont="1" applyFill="1" applyBorder="1" applyAlignment="1">
      <x:alignment vertical="center" wrapText="1"/>
    </x:xf>
    <x:xf numFmtId="0" fontId="9" fillId="3" borderId="17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aa8bc9c26413b" /><Relationship Type="http://schemas.openxmlformats.org/officeDocument/2006/relationships/theme" Target="/xl/theme/theme1.xml" Id="R48e5043551314376" /><Relationship Type="http://schemas.openxmlformats.org/officeDocument/2006/relationships/sharedStrings" Target="/xl/sharedStrings.xml" Id="Rca4e9951ec86419c" /><Relationship Type="http://schemas.openxmlformats.org/officeDocument/2006/relationships/worksheet" Target="/xl/worksheets/sheet1.xml" Id="Raf36f6016e234489" /><Relationship Type="http://schemas.openxmlformats.org/officeDocument/2006/relationships/worksheet" Target="/xl/worksheets/sheet2.xml" Id="Re07585bb2d2447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fa800a39a74b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RCL ajustada x despesa com pessoal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'Resumo'!$E$7:$E$8</c:f>
              <c:strCache>
                <c:ptCount val="0"/>
              </c:strCache>
            </c:strRef>
          </c:cat>
          <c:val>
            <c:numRef>
              <c:f>'Resumo'!$F$7:$F$8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, &quot;bi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a800a39a74b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35445df07e42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2" hidden="0" customWidth="1"/>
    <x:col min="4" max="4" width="3" hidden="0" customWidth="1"/>
    <x:col min="5" max="5" width="21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34" customHeight="1">
      <x:c r="A1" s="44" t="str">
        <x:v>Análise Financeira do Magistério Municipal — Evidência do MVP</x:v>
      </x:c>
      <x:c r="B1" s="44"/>
      <x:c r="C1" s="44"/>
      <x:c r="D1" s="44"/>
      <x:c r="E1" s="44"/>
      <x:c r="F1" s="44"/>
      <x:c r="G1" s="44"/>
      <x:c r="H1" s="44"/>
    </x:row>
    <x:row r="3">
      <x:c r="A3" s="45" t="str">
        <x:v>Município / entidade</x:v>
      </x:c>
      <x:c r="B3" s="46" t="str">
        <x:v>Curitiba / Município de Curitiba</x:v>
      </x:c>
      <x:c r="C3" s="47"/>
    </x:row>
    <x:row r="4">
      <x:c r="A4" s="45" t="str">
        <x:v>Exercício</x:v>
      </x:c>
      <x:c r="B4" s="46" t="n">
        <x:v>2019</x:v>
      </x:c>
      <x:c r="C4" s="47"/>
    </x:row>
    <x:row r="5">
      <x:c r="A5" s="47"/>
      <x:c r="B5" s="47"/>
      <x:c r="C5" s="47"/>
    </x:row>
    <x:row r="6">
      <x:c r="A6" s="48" t="str">
        <x:v>Indicador</x:v>
      </x:c>
      <x:c r="B6" s="48" t="str">
        <x:v>Valor</x:v>
      </x:c>
      <x:c r="C6" s="48" t="str">
        <x:v>Origem / regra</x:v>
      </x:c>
      <x:c r="E6" s="6" t="str">
        <x:v>Base do gráfico</x:v>
      </x:c>
      <x:c r="F6" s="6" t="str">
        <x:v>Valor</x:v>
      </x:c>
    </x:row>
    <x:row r="7">
      <x:c r="A7" s="49" t="str">
        <x:v>Receita Corrente Líquida (RCL)</x:v>
      </x:c>
      <x:c r="B7" s="50" t="n">
        <x:v>7361430652.73</x:v>
      </x:c>
      <x:c r="C7" s="51" t="str">
        <x:v>Relatório TCE-PR — RGF/RCL</x:v>
      </x:c>
      <x:c r="E7" s="12" t="str">
        <x:v>RCL ajustada</x:v>
      </x:c>
      <x:c r="F7" s="15" t="n">
        <x:f>B8</x:f>
        <x:v>7359872310.73</x:v>
      </x:c>
    </x:row>
    <x:row r="8">
      <x:c r="A8" s="49" t="str">
        <x:v>RCL ajustada</x:v>
      </x:c>
      <x:c r="B8" s="50" t="n">
        <x:v>7359872310.73</x:v>
      </x:c>
      <x:c r="C8" s="51" t="str">
        <x:v>Relatório TCE-PR — RGF/RCL</x:v>
      </x:c>
      <x:c r="E8" s="12" t="str">
        <x:v>Despesa com pessoal</x:v>
      </x:c>
      <x:c r="F8" s="15" t="n">
        <x:f>B9</x:f>
        <x:v>2786074714.14</x:v>
      </x:c>
    </x:row>
    <x:row r="9">
      <x:c r="A9" s="49" t="str">
        <x:v>Despesa Total com Pessoal (DTP)</x:v>
      </x:c>
      <x:c r="B9" s="50" t="n">
        <x:v>2786074714.14</x:v>
      </x:c>
      <x:c r="C9" s="51" t="str">
        <x:v>Relatório TCE-PR — RGF/Pessoal</x:v>
      </x:c>
    </x:row>
    <x:row r="10">
      <x:c r="A10" s="49" t="str">
        <x:v>Percentual oficial</x:v>
      </x:c>
      <x:c r="B10" s="52" t="n">
        <x:v>0.3785</x:v>
      </x:c>
      <x:c r="C10" s="51" t="str">
        <x:v>Valor publicado pelo TCE-PR</x:v>
      </x:c>
    </x:row>
    <x:row r="11">
      <x:c r="A11" s="49" t="str">
        <x:v>Percentual calculado</x:v>
      </x:c>
      <x:c r="B11" s="52" t="n">
        <x:f>B9/B8</x:f>
        <x:v>0.37854932755805637</x:v>
      </x:c>
      <x:c r="C11" s="51" t="str">
        <x:v>DTP ÷ RCL ajustada</x:v>
      </x:c>
    </x:row>
    <x:row r="12">
      <x:c r="A12" s="49" t="str">
        <x:v>Diferença para o oficial</x:v>
      </x:c>
      <x:c r="B12" s="52" t="n">
        <x:f>B11-B10</x:f>
        <x:v>0.000049327558056366794</x:v>
      </x:c>
      <x:c r="C12" s="51" t="str">
        <x:v>Calculado − oficial</x:v>
      </x:c>
    </x:row>
    <x:row r="13">
      <x:c r="A13" s="49" t="str">
        <x:v>Classificação</x:v>
      </x:c>
      <x:c r="B13" s="53" t="str">
        <x:f>IF(B11&lt;B17,"Normal",IF(B11&lt;B18,"Alerta",IF(B11&lt;B19,"Prudencial","Limite excedido")))</x:f>
        <x:v>Normal</x:v>
      </x:c>
      <x:c r="C13" s="51" t="str">
        <x:v>Comparação com os limites legais</x:v>
      </x:c>
    </x:row>
    <x:row r="14">
      <x:c r="A14" s="47"/>
      <x:c r="B14" s="47"/>
      <x:c r="C14" s="47"/>
    </x:row>
    <x:row r="15">
      <x:c r="A15" s="47"/>
      <x:c r="B15" s="47"/>
      <x:c r="C15" s="47"/>
    </x:row>
    <x:row r="16">
      <x:c r="A16" s="54" t="str">
        <x:v>Limite</x:v>
      </x:c>
      <x:c r="B16" s="54" t="str">
        <x:v>Percentual</x:v>
      </x:c>
      <x:c r="C16" s="47"/>
    </x:row>
    <x:row r="17">
      <x:c r="A17" s="55" t="str">
        <x:v>Alerta</x:v>
      </x:c>
      <x:c r="B17" s="56" t="n">
        <x:v>0.486</x:v>
      </x:c>
      <x:c r="C17" s="47"/>
    </x:row>
    <x:row r="18">
      <x:c r="A18" s="55" t="str">
        <x:v>Prudencial</x:v>
      </x:c>
      <x:c r="B18" s="56" t="n">
        <x:v>0.513</x:v>
      </x:c>
      <x:c r="C18" s="47"/>
    </x:row>
    <x:row r="19">
      <x:c r="A19" s="55" t="str">
        <x:v>Máximo</x:v>
      </x:c>
      <x:c r="B19" s="56" t="n">
        <x:v>0.54</x:v>
      </x:c>
      <x:c r="C19" s="47"/>
    </x:row>
    <x:row r="20">
      <x:c r="A20" s="47"/>
      <x:c r="B20" s="47"/>
      <x:c r="C20" s="47"/>
    </x:row>
    <x:row r="21">
      <x:c r="A21" s="38" t="str">
        <x:v>Evidência reproduzível do MVP: valores oficiais de 2019 e indicadores calculados por fórmulas.</x:v>
      </x:c>
      <x:c r="B21" s="39"/>
      <x:c r="C21" s="39"/>
      <x:c r="D21" s="39"/>
      <x:c r="E21" s="39"/>
      <x:c r="F21" s="39"/>
      <x:c r="G21" s="39"/>
      <x:c r="H21" s="40"/>
    </x:row>
    <x:row r="22">
      <x:c r="A22" s="41"/>
      <x:c r="B22" s="42"/>
      <x:c r="C22" s="42"/>
      <x:c r="D22" s="42"/>
      <x:c r="E22" s="42"/>
      <x:c r="F22" s="42"/>
      <x:c r="G22" s="42"/>
      <x:c r="H22" s="43"/>
    </x:row>
  </x:sheetData>
  <x:mergeCells>
    <x:mergeCell ref="A1:H1"/>
    <x:mergeCell ref="A21:H22"/>
  </x:mergeCells>
  <x:pageMargins left="0.7" right="0.7" top="0.75" bottom="0.75" header="0.3" footer="0.3"/>
  <x:drawing xmlns:r="http://schemas.openxmlformats.org/officeDocument/2006/relationships" r:id="R8235445df07e429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25" hidden="0" customWidth="1"/>
    <x:col min="4" max="4" width="23" hidden="0" customWidth="1"/>
    <x:col min="5" max="5" width="24" hidden="0" customWidth="1"/>
  </x:cols>
  <x:sheetData>
    <x:row r="1" ht="34" customHeight="1">
      <x:c r="A1" s="44" t="str">
        <x:v>Fontes e rastreabilidade</x:v>
      </x:c>
      <x:c r="B1" s="44"/>
      <x:c r="C1" s="44"/>
      <x:c r="D1" s="44"/>
      <x:c r="E1" s="44"/>
    </x:row>
    <x:row r="3">
      <x:c r="A3" s="54" t="str">
        <x:v>Relatório</x:v>
      </x:c>
      <x:c r="B3" s="54" t="str">
        <x:v>ID</x:v>
      </x:c>
      <x:c r="C3" s="54" t="str">
        <x:v>Campo usado</x:v>
      </x:c>
      <x:c r="D3" s="54" t="str">
        <x:v>Valor conferido</x:v>
      </x:c>
      <x:c r="E3" s="54" t="str">
        <x:v>Fonte</x:v>
      </x:c>
    </x:row>
    <x:row r="4">
      <x:c r="A4" s="55" t="str">
        <x:v>RGF — Receita Corrente Líquida</x:v>
      </x:c>
      <x:c r="B4" s="55" t="n">
        <x:v>10</x:v>
      </x:c>
      <x:c r="C4" s="55" t="str">
        <x:v>RCL ajustada</x:v>
      </x:c>
      <x:c r="D4" s="50" t="n">
        <x:v>7359872310.73</x:v>
      </x:c>
      <x:c r="E4" s="55" t="str">
        <x:v>TCE-PR / SIM-AM</x:v>
      </x:c>
    </x:row>
    <x:row r="5">
      <x:c r="A5" s="55" t="str">
        <x:v>RGF — Despesa com Pessoal</x:v>
      </x:c>
      <x:c r="B5" s="55" t="n">
        <x:v>20</x:v>
      </x:c>
      <x:c r="C5" s="55" t="str">
        <x:v>DTP e percentual</x:v>
      </x:c>
      <x:c r="D5" s="50" t="n">
        <x:v>2786074714.14</x:v>
      </x:c>
      <x:c r="E5" s="55" t="str">
        <x:v>TCE-PR / SIM-AM</x:v>
      </x:c>
    </x:row>
    <x:row r="6">
      <x:c r="A6" s="47"/>
      <x:c r="B6" s="47"/>
      <x:c r="C6" s="47"/>
      <x:c r="D6" s="47"/>
      <x:c r="E6" s="47"/>
    </x:row>
    <x:row r="7">
      <x:c r="A7" s="47"/>
      <x:c r="B7" s="47"/>
      <x:c r="C7" s="47"/>
      <x:c r="D7" s="47"/>
      <x:c r="E7" s="47"/>
    </x:row>
    <x:row r="8">
      <x:c r="A8" s="54" t="str">
        <x:v>Verificação</x:v>
      </x:c>
      <x:c r="B8" s="54" t="str">
        <x:v>Resultado</x:v>
      </x:c>
      <x:c r="C8" s="47"/>
      <x:c r="D8" s="47"/>
      <x:c r="E8" s="47"/>
    </x:row>
    <x:row r="9">
      <x:c r="A9" s="55" t="str">
        <x:v>Percentual recalculado</x:v>
      </x:c>
      <x:c r="B9" s="52" t="n">
        <x:f>Resumo!B11</x:f>
        <x:v>0.37854932755805637</x:v>
      </x:c>
      <x:c r="C9" s="47"/>
      <x:c r="D9" s="47"/>
      <x:c r="E9" s="47"/>
    </x:row>
    <x:row r="10">
      <x:c r="A10" s="55" t="str">
        <x:v>Diferença para o oficial</x:v>
      </x:c>
      <x:c r="B10" s="52" t="n">
        <x:f>ABS(Resumo!B12)</x:f>
        <x:v>0.000049327558056366794</x:v>
      </x:c>
      <x:c r="C10" s="47"/>
      <x:c r="D10" s="47"/>
      <x:c r="E10" s="47"/>
    </x:row>
    <x:row r="11">
      <x:c r="A11" s="55" t="str">
        <x:v>Situação</x:v>
      </x:c>
      <x:c r="B11" s="84" t="str">
        <x:f>IF(B10&lt;0.0001,"Conferido","Revisar")</x:f>
        <x:v>Conferido</x:v>
      </x:c>
      <x:c r="C11" s="47"/>
      <x:c r="D11" s="47"/>
      <x:c r="E11" s="47"/>
    </x:row>
    <x:row r="12">
      <x:c r="A12" s="47"/>
      <x:c r="B12" s="47"/>
      <x:c r="C12" s="47"/>
      <x:c r="D12" s="47"/>
      <x:c r="E12" s="47"/>
    </x:row>
    <x:row r="13">
      <x:c r="A13" s="47"/>
      <x:c r="B13" s="47"/>
      <x:c r="C13" s="47"/>
      <x:c r="D13" s="47"/>
      <x:c r="E13" s="47"/>
    </x:row>
    <x:row r="14">
      <x:c r="A14" s="75" t="str">
        <x:v>Endereço consultado pelo coletor: https://simam.tce.pr.gov.br/Paginas/Rel_LRF.aspx?relTipo=1
Consulta validada em 15/08/2026 para Curitiba, exercício de 2019. A disponibilidade futura do portal depende do TCE-PR.</x:v>
      </x:c>
      <x:c r="B14" s="76"/>
      <x:c r="C14" s="76"/>
      <x:c r="D14" s="76"/>
      <x:c r="E14" s="77"/>
    </x:row>
    <x:row r="15">
      <x:c r="A15" s="78"/>
      <x:c r="B15" s="79"/>
      <x:c r="C15" s="79"/>
      <x:c r="D15" s="79"/>
      <x:c r="E15" s="80"/>
    </x:row>
    <x:row r="16">
      <x:c r="A16" s="81"/>
      <x:c r="B16" s="82"/>
      <x:c r="C16" s="82"/>
      <x:c r="D16" s="82"/>
      <x:c r="E16" s="83"/>
    </x:row>
  </x:sheetData>
  <x:mergeCells>
    <x:mergeCell ref="A1:E1"/>
    <x:mergeCell ref="A14:E16"/>
  </x:mergeCells>
  <x:pageMargins left="0.7" right="0.7" top="0.75" bottom="0.75" header="0.3" footer="0.3"/>
</x:worksheet>
</file>