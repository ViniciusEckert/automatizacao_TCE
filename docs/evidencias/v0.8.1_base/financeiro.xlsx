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Resumo histórico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Painel financeiro" sheetId="3" state="visible" r:id="rId3"/>
    <sheet xmlns:r="http://schemas.openxmlformats.org/officeDocument/2006/relationships" name="Parâmetros do painel" sheetId="4" state="visible" r:id="rId4"/>
    <sheet xmlns:r="http://schemas.openxmlformats.org/officeDocument/2006/relationships" name="Erros e pendências" sheetId="5" state="visible" r:id="rId5"/>
  </sheets>
  <definedNames>
    <definedName name="_xlnm.Print_Area" localSheetId="0">'Resumo histórico'!$A$1:$T$33</definedName>
    <definedName name="_xlnm._FilterDatabase" localSheetId="1" hidden="1">'Histórico'!$A$1:$R$8</definedName>
    <definedName name="_xlnm.Print_Area" localSheetId="1">'Histórico'!$A$1:$R$8</definedName>
    <definedName name="_xlnm.Print_Area" localSheetId="2">'Painel financeiro'!$A$1:$J$48</definedName>
    <definedName name="_xlnm.Print_Area" localSheetId="3">'Parâmetros do painel'!$A$1:$D$15</definedName>
    <definedName name="_xlnm.Print_Area" localSheetId="4">'Erros e pendências'!$A$1:$B$2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Arial Black"/>
      <b val="1"/>
      <sz val="14"/>
    </font>
    <font>
      <name val="Arial Black"/>
      <b val="1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24B3A"/>
      </patternFill>
    </fill>
    <fill>
      <patternFill patternType="solid">
        <fgColor rgb="001E6B53"/>
      </patternFill>
    </fill>
    <fill>
      <patternFill patternType="solid">
        <fgColor rgb="00C7DB78"/>
      </patternFill>
    </fill>
    <fill>
      <patternFill patternType="solid">
        <fgColor rgb="00BFBFBF"/>
      </patternFill>
    </fill>
    <fill>
      <patternFill patternType="solid">
        <fgColor rgb="00F4CCCC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/>
    </fill>
    <fill>
      <patternFill patternType="solid">
        <fgColor rgb="00D8D8D8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10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7" fillId="9" borderId="0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left" vertical="center" wrapText="1"/>
    </xf>
    <xf numFmtId="164" fontId="5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10" fontId="5" fillId="11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AF1D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dos valores financeiros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'Histórico'!$C$2:$C$8</f>
            </numRef>
          </val>
          <smooth val="0"/>
        </ser>
        <ser>
          <idx val="1"/>
          <order val="1"/>
          <tx>
            <strRef>
              <f>'Histórico'!D1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'Histórico'!$D$2:$D$8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Exercício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em 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Comprometimento com pessoal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'Histórico'!$A$2:$A$8</f>
            </numRef>
          </cat>
          <val>
            <numRef>
              <f>'Histórico'!$F$2:$F$8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Indicadores financeiros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financeiro'!A6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financeiro'!$B$4:$H$4</f>
            </numRef>
          </cat>
          <val>
            <numRef>
              <f>'Painel financeiro'!$B$6:$H$6</f>
            </numRef>
          </val>
        </ser>
        <ser>
          <idx val="1"/>
          <order val="1"/>
          <tx>
            <strRef>
              <f>'Painel financeiro'!A9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financeiro'!$B$4:$H$4</f>
            </numRef>
          </cat>
          <val>
            <numRef>
              <f>'Painel financeiro'!$B$9:$H$9</f>
            </numRef>
          </val>
        </ser>
        <ser>
          <idx val="2"/>
          <order val="2"/>
          <tx>
            <strRef>
              <f>'Painel financeiro'!A13</f>
            </strRef>
          </tx>
          <spPr>
            <a:ln xmlns:a="http://schemas.openxmlformats.org/drawingml/2006/main">
              <a:prstDash val="solid"/>
            </a:ln>
          </spPr>
          <cat>
            <numRef>
              <f>'Painel financeiro'!$B$4:$H$4</f>
            </numRef>
          </cat>
          <val>
            <numRef>
              <f>'Painel financeiro'!$B$13:$H$13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numFmt formatCode="R$ #,##0,,&quot; mi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22</row>
      <rowOff>0</rowOff>
    </from>
    <ext cx="90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8" customWidth="1" min="2" max="2"/>
    <col width="18" customWidth="1" min="3" max="3"/>
    <col width="44" customWidth="1" min="4" max="4"/>
  </cols>
  <sheetData>
    <row r="1" ht="28" customHeight="1">
      <c r="A1" s="1" t="inlineStr">
        <is>
          <t>HISTÓRICO FINANCEIRO DO MAGISTÉRIO MUNICIPAL</t>
        </is>
      </c>
    </row>
    <row r="2">
      <c r="A2" t="inlineStr">
        <is>
          <t>Município</t>
        </is>
      </c>
      <c r="B2" t="inlineStr">
        <is>
          <t>Curitiba</t>
        </is>
      </c>
      <c r="C2" t="inlineStr">
        <is>
          <t>Entidade</t>
        </is>
      </c>
      <c r="D2" t="inlineStr">
        <is>
          <t>Município de Curitiba</t>
        </is>
      </c>
    </row>
    <row r="3">
      <c r="A3" t="inlineStr">
        <is>
          <t>Período</t>
        </is>
      </c>
      <c r="B3" t="inlineStr">
        <is>
          <t>2019–2025</t>
        </is>
      </c>
      <c r="C3" t="inlineStr">
        <is>
          <t>Coletado em</t>
        </is>
      </c>
      <c r="D3" t="inlineStr">
        <is>
          <t>2026-08-15T19:14:01-03:00</t>
        </is>
      </c>
    </row>
    <row r="5">
      <c r="A5" s="2" t="inlineStr">
        <is>
          <t>Indicador</t>
        </is>
      </c>
      <c r="B5" s="2" t="inlineStr">
        <is>
          <t>Resultado</t>
        </is>
      </c>
      <c r="C5" s="2" t="n"/>
      <c r="D5" s="2" t="n"/>
    </row>
    <row r="6">
      <c r="A6" t="inlineStr">
        <is>
          <t>Exercícios analisados</t>
        </is>
      </c>
      <c r="B6" t="n">
        <v>7</v>
      </c>
    </row>
    <row r="7">
      <c r="A7" t="inlineStr">
        <is>
          <t>Exercícios com erro</t>
        </is>
      </c>
      <c r="B7" t="n">
        <v>0</v>
      </c>
    </row>
    <row r="8">
      <c r="A8" t="inlineStr">
        <is>
          <t>Evolução acumulada da RCL ajustada</t>
        </is>
      </c>
      <c r="B8" s="3" t="n">
        <v>0.6762070614029948</v>
      </c>
    </row>
    <row r="9">
      <c r="A9" t="inlineStr">
        <is>
          <t>Evolução acumulada da despesa</t>
        </is>
      </c>
      <c r="B9" s="3" t="n">
        <v>0.7108498530561953</v>
      </c>
    </row>
    <row r="10">
      <c r="A10" t="inlineStr">
        <is>
          <t>Evolução acumulada das receitas do FUNDEB</t>
        </is>
      </c>
      <c r="B10" s="3" t="n">
        <v>0.7387247774911301</v>
      </c>
    </row>
    <row r="11">
      <c r="A11" t="inlineStr">
        <is>
          <t>Média de comprometimento</t>
        </is>
      </c>
      <c r="B11" s="3" t="n">
        <v>0.38826</v>
      </c>
    </row>
    <row r="12">
      <c r="A12" t="inlineStr">
        <is>
          <t>Maior comprometimento</t>
        </is>
      </c>
      <c r="B12" s="3" t="n">
        <v>0.427749</v>
      </c>
    </row>
    <row r="13">
      <c r="A13" t="inlineStr">
        <is>
          <t>Ano do maior comprometimento</t>
        </is>
      </c>
      <c r="B13" t="n">
        <v>2023</v>
      </c>
    </row>
  </sheetData>
  <mergeCells count="1">
    <mergeCell ref="A1:D1"/>
  </mergeCells>
  <pageMargins left="0.25" right="0.25" top="0.35" bottom="0.35" header="0.5" footer="0.5"/>
  <pageSetup orientation="landscape" paperSize="9" fitToHeight="2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2" customWidth="1" min="4" max="4"/>
    <col width="14" customWidth="1" min="5" max="5"/>
    <col width="16" customWidth="1" min="6" max="6"/>
    <col width="20" customWidth="1" min="7" max="7"/>
    <col width="20" customWidth="1" min="8" max="8"/>
    <col width="24" customWidth="1" min="9" max="9"/>
    <col width="16" customWidth="1" min="10" max="10"/>
    <col width="16" customWidth="1" min="11" max="11"/>
    <col width="16" customWidth="1" min="12" max="12"/>
    <col width="16" customWidth="1" min="13" max="13"/>
    <col width="23" customWidth="1" min="14" max="14"/>
    <col width="55" customWidth="1" min="15" max="15"/>
    <col width="16" customWidth="1" min="16" max="16"/>
    <col width="18" customWidth="1" min="17" max="17"/>
    <col width="16" customWidth="1" min="18" max="18"/>
  </cols>
  <sheetData>
    <row r="1">
      <c r="A1" s="2" t="inlineStr">
        <is>
          <t>Ano</t>
        </is>
      </c>
      <c r="B1" s="2" t="inlineStr">
        <is>
          <t>RCL</t>
        </is>
      </c>
      <c r="C1" s="2" t="inlineStr">
        <is>
          <t>RCL ajustada</t>
        </is>
      </c>
      <c r="D1" s="2" t="inlineStr">
        <is>
          <t>Despesa com pessoal</t>
        </is>
      </c>
      <c r="E1" s="2" t="inlineStr">
        <is>
          <t>% oficial</t>
        </is>
      </c>
      <c r="F1" s="2" t="inlineStr">
        <is>
          <t>% recalculado</t>
        </is>
      </c>
      <c r="G1" s="2" t="inlineStr">
        <is>
          <t>Classificação</t>
        </is>
      </c>
      <c r="H1" s="2" t="inlineStr">
        <is>
          <t>Receitas FUNDEB</t>
        </is>
      </c>
      <c r="I1" s="2" t="inlineStr">
        <is>
          <t>Resultado líquido FUNDEB</t>
        </is>
      </c>
      <c r="J1" s="2" t="inlineStr">
        <is>
          <t>Aplicação MDE</t>
        </is>
      </c>
      <c r="K1" s="2" t="inlineStr">
        <is>
          <t>Δ RCL ajustada</t>
        </is>
      </c>
      <c r="L1" s="2" t="inlineStr">
        <is>
          <t>Δ despesa</t>
        </is>
      </c>
      <c r="M1" s="2" t="inlineStr">
        <is>
          <t>Δ FUNDEB</t>
        </is>
      </c>
      <c r="N1" s="2" t="inlineStr">
        <is>
          <t>Δ comprometimento (p.p.)</t>
        </is>
      </c>
      <c r="O1" s="2" t="inlineStr">
        <is>
          <t>Avisos</t>
        </is>
      </c>
      <c r="P1" s="2" t="inlineStr">
        <is>
          <t>Limite de alerta</t>
        </is>
      </c>
      <c r="Q1" s="2" t="inlineStr">
        <is>
          <t>Limite prudencial</t>
        </is>
      </c>
      <c r="R1" s="2" t="inlineStr">
        <is>
          <t>Limite máximo</t>
        </is>
      </c>
    </row>
    <row r="2">
      <c r="A2" t="n">
        <v>2019</v>
      </c>
      <c r="B2" s="4" t="n">
        <v>7361430652.73</v>
      </c>
      <c r="C2" s="4" t="n">
        <v>7359872310.73</v>
      </c>
      <c r="D2" s="4" t="n">
        <v>2786074714.14</v>
      </c>
      <c r="E2" s="3" t="n">
        <v>0.3785</v>
      </c>
      <c r="F2" s="3" t="n">
        <v>0.378549</v>
      </c>
      <c r="G2" s="5" t="inlineStr">
        <is>
          <t>normal</t>
        </is>
      </c>
      <c r="H2" s="4" t="n">
        <v>600162934.45</v>
      </c>
      <c r="I2" s="4" t="n">
        <v>275212940.29</v>
      </c>
      <c r="J2" s="3" t="n"/>
      <c r="K2" s="3" t="n"/>
      <c r="L2" s="3" t="n"/>
      <c r="M2" s="3" t="n"/>
      <c r="N2" s="3" t="n"/>
      <c r="O2" t="inlineStr"/>
      <c r="P2" s="3" t="n">
        <v>0.486</v>
      </c>
      <c r="Q2" s="3" t="n">
        <v>0.513</v>
      </c>
      <c r="R2" s="3" t="n">
        <v>0.54</v>
      </c>
    </row>
    <row r="3">
      <c r="A3" t="n">
        <v>2020</v>
      </c>
      <c r="B3" s="4" t="n">
        <v>7866853355.9</v>
      </c>
      <c r="C3" s="4" t="n">
        <v>7835897240.9</v>
      </c>
      <c r="D3" s="4" t="n">
        <v>2884571613.07</v>
      </c>
      <c r="E3" s="3" t="n">
        <v>0.3681</v>
      </c>
      <c r="F3" s="3" t="n">
        <v>0.368123</v>
      </c>
      <c r="G3" s="5" t="inlineStr">
        <is>
          <t>normal</t>
        </is>
      </c>
      <c r="H3" s="4" t="n">
        <v>572011470.9299999</v>
      </c>
      <c r="I3" s="4" t="n">
        <v>254454213.64</v>
      </c>
      <c r="J3" s="3" t="n"/>
      <c r="K3" s="3" t="n">
        <v>0.06467842240632371</v>
      </c>
      <c r="L3" s="3" t="n">
        <v>0.03535328698476925</v>
      </c>
      <c r="M3" s="3" t="n">
        <v>-0.04690636809452187</v>
      </c>
      <c r="N3" s="3" t="n">
        <v>-0.010426</v>
      </c>
      <c r="O3" t="inlineStr"/>
      <c r="P3" s="3" t="n">
        <v>0.486</v>
      </c>
      <c r="Q3" s="3" t="n">
        <v>0.513</v>
      </c>
      <c r="R3" s="3" t="n">
        <v>0.54</v>
      </c>
    </row>
    <row r="4">
      <c r="A4" t="n">
        <v>2021</v>
      </c>
      <c r="B4" s="4" t="n">
        <v>8289494820.45</v>
      </c>
      <c r="C4" s="4" t="n">
        <v>8282730694.45</v>
      </c>
      <c r="D4" s="4" t="n">
        <v>3186380692.32</v>
      </c>
      <c r="E4" s="3" t="n">
        <v>0.3847</v>
      </c>
      <c r="F4" s="3" t="n">
        <v>0.384702</v>
      </c>
      <c r="G4" s="5" t="inlineStr">
        <is>
          <t>normal</t>
        </is>
      </c>
      <c r="H4" s="4" t="n">
        <v>713790814.6799999</v>
      </c>
      <c r="I4" s="4" t="n">
        <v>339905724.21</v>
      </c>
      <c r="J4" s="3" t="n"/>
      <c r="K4" s="3" t="n">
        <v>0.05702390419538972</v>
      </c>
      <c r="L4" s="3" t="n">
        <v>0.1046287351239616</v>
      </c>
      <c r="M4" s="3" t="n">
        <v>0.2478610149539296</v>
      </c>
      <c r="N4" s="3" t="n">
        <v>0.01657899999999998</v>
      </c>
      <c r="O4" t="inlineStr"/>
      <c r="P4" s="3" t="n">
        <v>0.486</v>
      </c>
      <c r="Q4" s="3" t="n">
        <v>0.513</v>
      </c>
      <c r="R4" s="3" t="n">
        <v>0.54</v>
      </c>
    </row>
    <row r="5">
      <c r="A5" t="n">
        <v>2022</v>
      </c>
      <c r="B5" s="4" t="n">
        <v>9335522195.42</v>
      </c>
      <c r="C5" s="4" t="n">
        <v>9314379936.42</v>
      </c>
      <c r="D5" s="4" t="n">
        <v>3334993704.03</v>
      </c>
      <c r="E5" s="3" t="n">
        <v>0.358</v>
      </c>
      <c r="F5" s="3" t="n">
        <v>0.358048</v>
      </c>
      <c r="G5" s="5" t="inlineStr">
        <is>
          <t>normal</t>
        </is>
      </c>
      <c r="H5" s="4" t="n">
        <v>860918344.6</v>
      </c>
      <c r="I5" s="4" t="n">
        <v>424451388.91</v>
      </c>
      <c r="J5" s="3" t="n"/>
      <c r="K5" s="3" t="n">
        <v>0.1245542418349153</v>
      </c>
      <c r="L5" s="3" t="n">
        <v>0.04664006785761532</v>
      </c>
      <c r="M5" s="3" t="n">
        <v>0.2061213550162577</v>
      </c>
      <c r="N5" s="3" t="n">
        <v>-0.02665399999999998</v>
      </c>
      <c r="O5" t="inlineStr"/>
      <c r="P5" s="3" t="n">
        <v>0.486</v>
      </c>
      <c r="Q5" s="3" t="n">
        <v>0.513</v>
      </c>
      <c r="R5" s="3" t="n">
        <v>0.54</v>
      </c>
    </row>
    <row r="6">
      <c r="A6" t="n">
        <v>2023</v>
      </c>
      <c r="B6" s="4" t="n">
        <v>9967593104.790001</v>
      </c>
      <c r="C6" s="4" t="n">
        <v>9935910243.969999</v>
      </c>
      <c r="D6" s="4" t="n">
        <v>4250070902.71</v>
      </c>
      <c r="E6" s="3" t="n">
        <v>0.4277</v>
      </c>
      <c r="F6" s="3" t="n">
        <v>0.427749</v>
      </c>
      <c r="G6" s="5" t="inlineStr">
        <is>
          <t>normal</t>
        </is>
      </c>
      <c r="H6" s="4" t="n">
        <v>863804576.1799999</v>
      </c>
      <c r="I6" s="4" t="n">
        <v>408889476.88</v>
      </c>
      <c r="J6" s="3" t="n"/>
      <c r="K6" s="3" t="n">
        <v>0.06672803898837798</v>
      </c>
      <c r="L6" s="3" t="n">
        <v>0.2743864846204125</v>
      </c>
      <c r="M6" s="3" t="n">
        <v>0.003352503286871977</v>
      </c>
      <c r="N6" s="3" t="n">
        <v>0.06970100000000003</v>
      </c>
      <c r="O6" t="inlineStr"/>
      <c r="P6" s="3" t="n">
        <v>0.486</v>
      </c>
      <c r="Q6" s="3" t="n">
        <v>0.513</v>
      </c>
      <c r="R6" s="3" t="n">
        <v>0.54</v>
      </c>
    </row>
    <row r="7">
      <c r="A7" t="n">
        <v>2024</v>
      </c>
      <c r="B7" s="4" t="n">
        <v>11389418362.14</v>
      </c>
      <c r="C7" s="4" t="n">
        <v>11309265897.14</v>
      </c>
      <c r="D7" s="4" t="n">
        <v>4685119821.38</v>
      </c>
      <c r="E7" s="3" t="n">
        <v>0.4143</v>
      </c>
      <c r="F7" s="3" t="n">
        <v>0.414273</v>
      </c>
      <c r="G7" s="5" t="inlineStr">
        <is>
          <t>normal</t>
        </is>
      </c>
      <c r="H7" s="4" t="n">
        <v>1006315150.2</v>
      </c>
      <c r="I7" s="4" t="n">
        <v>494682509.16</v>
      </c>
      <c r="J7" s="3" t="n"/>
      <c r="K7" s="3" t="n">
        <v>0.138221423045108</v>
      </c>
      <c r="L7" s="3" t="n">
        <v>0.1023627437350745</v>
      </c>
      <c r="M7" s="3" t="n">
        <v>0.1649801100269972</v>
      </c>
      <c r="N7" s="3" t="n">
        <v>-0.013476</v>
      </c>
      <c r="O7" t="inlineStr"/>
      <c r="P7" s="3" t="n">
        <v>0.486</v>
      </c>
      <c r="Q7" s="3" t="n">
        <v>0.513</v>
      </c>
      <c r="R7" s="3" t="n">
        <v>0.54</v>
      </c>
    </row>
    <row r="8">
      <c r="A8" t="n">
        <v>2025</v>
      </c>
      <c r="B8" s="4" t="n">
        <v>12392660007.87</v>
      </c>
      <c r="C8" s="4" t="n">
        <v>12336669938.27</v>
      </c>
      <c r="D8" s="4" t="n">
        <v>4766555515.29</v>
      </c>
      <c r="E8" s="3" t="n">
        <v>0.3864</v>
      </c>
      <c r="F8" s="3" t="n">
        <v>0.386373</v>
      </c>
      <c r="G8" s="5" t="inlineStr">
        <is>
          <t>normal</t>
        </is>
      </c>
      <c r="H8" s="4" t="n">
        <v>1043518164.66</v>
      </c>
      <c r="I8" s="4" t="n">
        <v>490221827.16</v>
      </c>
      <c r="J8" s="3" t="n"/>
      <c r="K8" s="3" t="n">
        <v>0.09084621853217033</v>
      </c>
      <c r="L8" s="3" t="n">
        <v>0.01738177400252972</v>
      </c>
      <c r="M8" s="3" t="n">
        <v>0.03696954622277726</v>
      </c>
      <c r="N8" s="3" t="n">
        <v>-0.02789999999999999</v>
      </c>
      <c r="O8" t="inlineStr"/>
      <c r="P8" s="3" t="n">
        <v>0.486</v>
      </c>
      <c r="Q8" s="3" t="n">
        <v>0.513</v>
      </c>
      <c r="R8" s="3" t="n">
        <v>0.54</v>
      </c>
    </row>
  </sheetData>
  <autoFilter ref="A1:R8"/>
  <pageMargins left="0.25" right="0.25" top="0.35" bottom="0.35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7" customWidth="1" min="9" max="9"/>
    <col width="17" customWidth="1" min="10" max="10"/>
  </cols>
  <sheetData>
    <row r="1" ht="26" customHeight="1">
      <c r="A1" s="6" t="inlineStr">
        <is>
          <t>PAINEL ORÇAMENTÁRIO/FISCAL</t>
        </is>
      </c>
    </row>
    <row r="2" ht="26" customHeight="1">
      <c r="A2" s="7" t="inlineStr">
        <is>
          <t>Município: Curitiba - PR</t>
        </is>
      </c>
    </row>
    <row r="4">
      <c r="A4" s="8" t="inlineStr">
        <is>
          <t>Indicador</t>
        </is>
      </c>
      <c r="B4" s="9" t="n">
        <v>2019</v>
      </c>
      <c r="C4" s="9" t="n">
        <v>2020</v>
      </c>
      <c r="D4" s="9" t="n">
        <v>2021</v>
      </c>
      <c r="E4" s="9" t="n">
        <v>2022</v>
      </c>
      <c r="F4" s="9" t="n">
        <v>2023</v>
      </c>
      <c r="G4" s="9" t="n">
        <v>2024</v>
      </c>
      <c r="H4" s="9" t="n">
        <v>2025</v>
      </c>
      <c r="I4" s="9" t="n"/>
      <c r="J4" s="9" t="n"/>
    </row>
    <row r="5">
      <c r="A5" s="8" t="n"/>
      <c r="I5" s="9" t="n"/>
      <c r="J5" s="9" t="n"/>
    </row>
    <row r="6" ht="40" customHeight="1">
      <c r="A6" s="10" t="inlineStr">
        <is>
          <t>RREO - Receita Corrente Líquida Ajustada</t>
        </is>
      </c>
      <c r="B6" s="11">
        <f>IF('Histórico'!C2="","",'Histórico'!C2)</f>
        <v>7359872310.73</v>
      </c>
      <c r="C6" s="11">
        <f>IF('Histórico'!C3="","",'Histórico'!C3)</f>
        <v>7835897240.9</v>
      </c>
      <c r="D6" s="11">
        <f>IF('Histórico'!C4="","",'Histórico'!C4)</f>
        <v>8282730694.45</v>
      </c>
      <c r="E6" s="11">
        <f>IF('Histórico'!C5="","",'Histórico'!C5)</f>
        <v>9314379936.42</v>
      </c>
      <c r="F6" s="11">
        <f>IF('Histórico'!C6="","",'Histórico'!C6)</f>
        <v>9935910243.97</v>
      </c>
      <c r="G6" s="11">
        <f>IF('Histórico'!C7="","",'Histórico'!C7)</f>
        <v>11309265897.14</v>
      </c>
      <c r="H6" s="11">
        <f>IF('Histórico'!C8="","",'Histórico'!C8)</f>
        <v>12336669938.27</v>
      </c>
      <c r="I6" s="12" t="n"/>
      <c r="J6" s="12" t="n"/>
    </row>
    <row r="7">
      <c r="A7" s="13" t="n"/>
      <c r="B7" s="14">
        <f>IF(OR(B6="",B6=0),"",0)</f>
        <v>0</v>
      </c>
      <c r="C7" s="14">
        <f>IFERROR(IF(OR(C6="",$B$6=""),"",(C6/$B$6)-1),"")</f>
        <v>0.06467842240632371</v>
      </c>
      <c r="D7" s="14">
        <f>IFERROR(IF(OR(D6="",$B$6=""),"",(D6/$B$6)-1),"")</f>
        <v>0.12539054276452055</v>
      </c>
      <c r="E7" s="14">
        <f>IFERROR(IF(OR(E6="",$B$6=""),"",(E6/$B$6)-1),"")</f>
        <v>0.26556270858673914</v>
      </c>
      <c r="F7" s="14">
        <f>IFERROR(IF(OR(F6="",$B$6=""),"",(F6/$B$6)-1),"")</f>
        <v>0.3500112263475521</v>
      </c>
      <c r="G7" s="14">
        <f>IFERROR(IF(OR(G6="",$B$6=""),"",(G6/$B$6)-1),"")</f>
        <v>0.5366116991801824</v>
      </c>
      <c r="H7" s="14">
        <f>IFERROR(IF(OR(H6="",$B$6=""),"",(H6/$B$6)-1),"")</f>
        <v>0.6762070614029947</v>
      </c>
      <c r="I7" s="15" t="inlineStr">
        <is>
          <t>Média Anual</t>
        </is>
      </c>
      <c r="J7" s="14">
        <f>IFERROR(IF(ISNUMBER(H7),IF('Parâmetros do painel'!B2="geometrica",(1+H7)^(1/'Parâmetros do painel'!B4)-1,H7/IF('Parâmetros do painel'!B2="intervalos",'Parâmetros do painel'!B4,'Parâmetros do painel'!B3)),""),"")</f>
        <v>0.09660100877185639</v>
      </c>
    </row>
    <row r="8">
      <c r="A8" s="13" t="n"/>
      <c r="B8" s="14" t="inlineStr">
        <is>
          <t>Evolução</t>
        </is>
      </c>
      <c r="C8" s="14">
        <f>IFERROR(IF(OR(C6="",B6=""),"",(C6/B6)-1),"")</f>
        <v>0.06467842240632371</v>
      </c>
      <c r="D8" s="14">
        <f>IFERROR(IF(OR(D6="",C6=""),"",(D6/C6)-1),"")</f>
        <v>0.05702390419538972</v>
      </c>
      <c r="E8" s="14">
        <f>IFERROR(IF(OR(E6="",D6=""),"",(E6/D6)-1),"")</f>
        <v>0.12455424183491526</v>
      </c>
      <c r="F8" s="14">
        <f>IFERROR(IF(OR(F6="",E6=""),"",(F6/E6)-1),"")</f>
        <v>0.06672803898837798</v>
      </c>
      <c r="G8" s="14">
        <f>IFERROR(IF(OR(G6="",F6=""),"",(G6/F6)-1),"")</f>
        <v>0.13822142304510798</v>
      </c>
      <c r="H8" s="14">
        <f>IFERROR(IF(OR(H6="",G6=""),"",(H6/G6)-1),"")</f>
        <v>0.09084621853217034</v>
      </c>
      <c r="I8" s="15" t="n"/>
      <c r="J8" s="15" t="n"/>
    </row>
    <row r="9" ht="40" customHeight="1">
      <c r="A9" s="10" t="inlineStr">
        <is>
          <t>RGF - Despesa Total com Pessoal</t>
        </is>
      </c>
      <c r="B9" s="11">
        <f>IF('Histórico'!D2="","",'Histórico'!D2)</f>
        <v>2786074714.14</v>
      </c>
      <c r="C9" s="11">
        <f>IF('Histórico'!D3="","",'Histórico'!D3)</f>
        <v>2884571613.07</v>
      </c>
      <c r="D9" s="11">
        <f>IF('Histórico'!D4="","",'Histórico'!D4)</f>
        <v>3186380692.32</v>
      </c>
      <c r="E9" s="11">
        <f>IF('Histórico'!D5="","",'Histórico'!D5)</f>
        <v>3334993704.03</v>
      </c>
      <c r="F9" s="11">
        <f>IF('Histórico'!D6="","",'Histórico'!D6)</f>
        <v>4250070902.71</v>
      </c>
      <c r="G9" s="11">
        <f>IF('Histórico'!D7="","",'Histórico'!D7)</f>
        <v>4685119821.38</v>
      </c>
      <c r="H9" s="11">
        <f>IF('Histórico'!D8="","",'Histórico'!D8)</f>
        <v>4766555515.29</v>
      </c>
      <c r="I9" s="12" t="n"/>
      <c r="J9" s="12" t="n"/>
    </row>
    <row r="10">
      <c r="A10" s="13" t="n"/>
      <c r="B10" s="14">
        <f>IF(OR(B9="",B9=0),"",0)</f>
        <v>0</v>
      </c>
      <c r="C10" s="14">
        <f>IFERROR(IF(OR(C9="",$B$9=""),"",(C9/$B$9)-1),"")</f>
        <v>0.03535328698476925</v>
      </c>
      <c r="D10" s="14">
        <f>IFERROR(IF(OR(D9="",$B$9=""),"",(D9/$B$9)-1),"")</f>
        <v>0.14368099180842187</v>
      </c>
      <c r="E10" s="14">
        <f>IFERROR(IF(OR(E9="",$B$9=""),"",(E9/$B$9)-1),"")</f>
        <v>0.19702235087383135</v>
      </c>
      <c r="F10" s="14">
        <f>IFERROR(IF(OR(F9="",$B$9=""),"",(F9/$B$9)-1),"")</f>
        <v>0.5254691057421637</v>
      </c>
      <c r="G10" s="14">
        <f>IFERROR(IF(OR(G9="",$B$9=""),"",(G9/$B$9)-1),"")</f>
        <v>0.681620308889022</v>
      </c>
      <c r="H10" s="14">
        <f>IFERROR(IF(OR(H9="",$B$9=""),"",(H9/$B$9)-1),"")</f>
        <v>0.7108498530561953</v>
      </c>
      <c r="I10" s="15" t="inlineStr">
        <is>
          <t>Média Anual</t>
        </is>
      </c>
      <c r="J10" s="14">
        <f>IFERROR(IF(ISNUMBER(H10),IF('Parâmetros do painel'!B2="geometrica",(1+H10)^(1/'Parâmetros do painel'!B4)-1,H10/IF('Parâmetros do painel'!B2="intervalos",'Parâmetros do painel'!B4,'Parâmetros do painel'!B3)),""),"")</f>
        <v>0.1015499790080279</v>
      </c>
    </row>
    <row r="11">
      <c r="A11" s="13" t="n"/>
      <c r="B11" s="14" t="inlineStr">
        <is>
          <t>Evolução</t>
        </is>
      </c>
      <c r="C11" s="14">
        <f>IFERROR(IF(OR(C9="",B9=""),"",(C9/B9)-1),"")</f>
        <v>0.03535328698476925</v>
      </c>
      <c r="D11" s="14">
        <f>IFERROR(IF(OR(D9="",C9=""),"",(D9/C9)-1),"")</f>
        <v>0.10462873512396165</v>
      </c>
      <c r="E11" s="14">
        <f>IFERROR(IF(OR(E9="",D9=""),"",(E9/D9)-1),"")</f>
        <v>0.04664006785761532</v>
      </c>
      <c r="F11" s="14">
        <f>IFERROR(IF(OR(F9="",E9=""),"",(F9/E9)-1),"")</f>
        <v>0.2743864846204125</v>
      </c>
      <c r="G11" s="14">
        <f>IFERROR(IF(OR(G9="",F9=""),"",(G9/F9)-1),"")</f>
        <v>0.10236274373507448</v>
      </c>
      <c r="H11" s="14">
        <f>IFERROR(IF(OR(H9="",G9=""),"",(H9/G9)-1),"")</f>
        <v>0.017381774002529715</v>
      </c>
      <c r="I11" s="15" t="n"/>
      <c r="J11" s="15" t="n"/>
    </row>
    <row r="12" ht="40" customHeight="1">
      <c r="A12" s="16" t="inlineStr">
        <is>
          <t>RGF - Despesa Total com Pessoal %</t>
        </is>
      </c>
      <c r="B12" s="17">
        <f>IFERROR(IF(OR(B9="",B6=""),"",B9/B6),"")</f>
        <v>0.37854932755805637</v>
      </c>
      <c r="C12" s="17">
        <f>IFERROR(IF(OR(C9="",C6=""),"",C9/C6),"")</f>
        <v>0.3681226953837248</v>
      </c>
      <c r="D12" s="17">
        <f>IFERROR(IF(OR(D9="",D6=""),"",D9/D6),"")</f>
        <v>0.3847017137059756</v>
      </c>
      <c r="E12" s="17">
        <f>IFERROR(IF(OR(E9="",E6=""),"",E9/E6),"")</f>
        <v>0.3580478493248807</v>
      </c>
      <c r="F12" s="17">
        <f>IFERROR(IF(OR(F9="",F6=""),"",F9/F6),"")</f>
        <v>0.42774852010054376</v>
      </c>
      <c r="G12" s="17">
        <f>IFERROR(IF(OR(G9="",G6=""),"",G9/G6),"")</f>
        <v>0.4142726737519559</v>
      </c>
      <c r="H12" s="17">
        <f>IFERROR(IF(OR(H9="",H6=""),"",H9/H6),"")</f>
        <v>0.3863729466007279</v>
      </c>
      <c r="I12" s="18" t="n"/>
      <c r="J12" s="18" t="n"/>
    </row>
    <row r="13" ht="40" customHeight="1">
      <c r="A13" s="10" t="inlineStr">
        <is>
          <t>RREO - Transferências FUNDEB</t>
        </is>
      </c>
      <c r="B13" s="11">
        <f>IF('Histórico'!H2="","",'Histórico'!H2)</f>
        <v>600162934.45</v>
      </c>
      <c r="C13" s="11">
        <f>IF('Histórico'!H3="","",'Histórico'!H3)</f>
        <v>572011470.93</v>
      </c>
      <c r="D13" s="11">
        <f>IF('Histórico'!H4="","",'Histórico'!H4)</f>
        <v>713790814.68</v>
      </c>
      <c r="E13" s="11">
        <f>IF('Histórico'!H5="","",'Histórico'!H5)</f>
        <v>860918344.6</v>
      </c>
      <c r="F13" s="11">
        <f>IF('Histórico'!H6="","",'Histórico'!H6)</f>
        <v>863804576.18</v>
      </c>
      <c r="G13" s="11">
        <f>IF('Histórico'!H7="","",'Histórico'!H7)</f>
        <v>1006315150.2</v>
      </c>
      <c r="H13" s="11">
        <f>IF('Histórico'!H8="","",'Histórico'!H8)</f>
        <v>1043518164.66</v>
      </c>
      <c r="I13" s="12" t="n"/>
      <c r="J13" s="12" t="n"/>
    </row>
    <row r="14">
      <c r="A14" s="13" t="n"/>
      <c r="B14" s="14">
        <f>IF(OR(B13="",B13=0),"",0)</f>
        <v>0</v>
      </c>
      <c r="C14" s="14">
        <f>IFERROR(IF(OR(C13="",$B$13=""),"",(C13/$B$13)-1),"")</f>
        <v>-0.046906368094521866</v>
      </c>
      <c r="D14" s="14">
        <f>IFERROR(IF(OR(D13="",$B$13=""),"",(D13/$B$13)-1),"")</f>
        <v>0.18932838685569697</v>
      </c>
      <c r="E14" s="14">
        <f>IFERROR(IF(OR(E13="",$B$13=""),"",(E13/$B$13)-1),"")</f>
        <v>0.4344743655136931</v>
      </c>
      <c r="F14" s="14">
        <f>IFERROR(IF(OR(F13="",$B$13=""),"",(F13/$B$13)-1),"")</f>
        <v>0.43928344553901155</v>
      </c>
      <c r="G14" s="14">
        <f>IFERROR(IF(OR(G13="",$B$13=""),"",(G13/$B$13)-1),"")</f>
        <v>0.6767365867440733</v>
      </c>
      <c r="H14" s="14">
        <f>IFERROR(IF(OR(H13="",$B$13=""),"",(H13/$B$13)-1),"")</f>
        <v>0.7387247774911301</v>
      </c>
      <c r="I14" s="15" t="inlineStr">
        <is>
          <t>Média Anual</t>
        </is>
      </c>
      <c r="J14" s="14">
        <f>IFERROR(IF(ISNUMBER(H14),IF('Parâmetros do painel'!B2="geometrica",(1+H14)^(1/'Parâmetros do painel'!B4)-1,H14/IF('Parâmetros do painel'!B2="intervalos",'Parâmetros do painel'!B4,'Parâmetros do painel'!B3)),""),"")</f>
        <v>0.10553211107016144</v>
      </c>
    </row>
    <row r="15">
      <c r="A15" s="13" t="n"/>
      <c r="B15" s="14" t="inlineStr">
        <is>
          <t>Evolução</t>
        </is>
      </c>
      <c r="C15" s="14">
        <f>IFERROR(IF(OR(C13="",B13=""),"",(C13/B13)-1),"")</f>
        <v>-0.046906368094521866</v>
      </c>
      <c r="D15" s="14">
        <f>IFERROR(IF(OR(D13="",C13=""),"",(D13/C13)-1),"")</f>
        <v>0.24786101495392954</v>
      </c>
      <c r="E15" s="14">
        <f>IFERROR(IF(OR(E13="",D13=""),"",(E13/D13)-1),"")</f>
        <v>0.20612135501625772</v>
      </c>
      <c r="F15" s="14">
        <f>IFERROR(IF(OR(F13="",E13=""),"",(F13/E13)-1),"")</f>
        <v>0.0033525032868719773</v>
      </c>
      <c r="G15" s="14">
        <f>IFERROR(IF(OR(G13="",F13=""),"",(G13/F13)-1),"")</f>
        <v>0.1649801100269972</v>
      </c>
      <c r="H15" s="14">
        <f>IFERROR(IF(OR(H13="",G13=""),"",(H13/G13)-1),"")</f>
        <v>0.03696954622277726</v>
      </c>
      <c r="I15" s="15" t="n"/>
      <c r="J15" s="15" t="n"/>
    </row>
    <row r="16" ht="60" customHeight="1">
      <c r="A16" s="13" t="inlineStr">
        <is>
          <t>Percentual de Aplicação em MDE
sobre a Receita Líquida de Impostos
(Referência constitucional: 25%; interpretação não automatizada)</t>
        </is>
      </c>
      <c r="B16" s="14" t="str">
        <f>IF('Histórico'!J2="","",'Histórico'!J2)</f>
        <v/>
      </c>
      <c r="C16" s="14" t="str">
        <f>IF('Histórico'!J3="","",'Histórico'!J3)</f>
        <v/>
      </c>
      <c r="D16" s="14" t="str">
        <f>IF('Histórico'!J4="","",'Histórico'!J4)</f>
        <v/>
      </c>
      <c r="E16" s="14" t="str">
        <f>IF('Histórico'!J5="","",'Histórico'!J5)</f>
        <v/>
      </c>
      <c r="F16" s="14" t="str">
        <f>IF('Histórico'!J6="","",'Histórico'!J6)</f>
        <v/>
      </c>
      <c r="G16" s="14" t="str">
        <f>IF('Histórico'!J7="","",'Histórico'!J7)</f>
        <v/>
      </c>
      <c r="H16" s="14" t="str">
        <f>IF('Histórico'!J8="","",'Histórico'!J8)</f>
        <v/>
      </c>
      <c r="I16" s="15" t="n"/>
      <c r="J16" s="15" t="n"/>
    </row>
    <row r="17">
      <c r="A17" s="13" t="inlineStr">
        <is>
          <t>Classificação fiscal</t>
        </is>
      </c>
      <c r="B17" s="15" t="str">
        <f>IF(B12="","",IF(B12&lt;'Parâmetros do painel'!B9,"Normal",IF(B12&lt;'Parâmetros do painel'!C9,"Alerta",IF(B12&lt;'Parâmetros do painel'!D9,"Prudencial","Limite excedido"))))</f>
        <v>Normal</v>
      </c>
      <c r="C17" s="15" t="str">
        <f>IF(C12="","",IF(C12&lt;'Parâmetros do painel'!B10,"Normal",IF(C12&lt;'Parâmetros do painel'!C10,"Alerta",IF(C12&lt;'Parâmetros do painel'!D10,"Prudencial","Limite excedido"))))</f>
        <v>Normal</v>
      </c>
      <c r="D17" s="15" t="str">
        <f>IF(D12="","",IF(D12&lt;'Parâmetros do painel'!B11,"Normal",IF(D12&lt;'Parâmetros do painel'!C11,"Alerta",IF(D12&lt;'Parâmetros do painel'!D11,"Prudencial","Limite excedido"))))</f>
        <v>Normal</v>
      </c>
      <c r="E17" s="15" t="str">
        <f>IF(E12="","",IF(E12&lt;'Parâmetros do painel'!B12,"Normal",IF(E12&lt;'Parâmetros do painel'!C12,"Alerta",IF(E12&lt;'Parâmetros do painel'!D12,"Prudencial","Limite excedido"))))</f>
        <v>Normal</v>
      </c>
      <c r="F17" s="15" t="str">
        <f>IF(F12="","",IF(F12&lt;'Parâmetros do painel'!B13,"Normal",IF(F12&lt;'Parâmetros do painel'!C13,"Alerta",IF(F12&lt;'Parâmetros do painel'!D13,"Prudencial","Limite excedido"))))</f>
        <v>Normal</v>
      </c>
      <c r="G17" s="15" t="str">
        <f>IF(G12="","",IF(G12&lt;'Parâmetros do painel'!B14,"Normal",IF(G12&lt;'Parâmetros do painel'!C14,"Alerta",IF(G12&lt;'Parâmetros do painel'!D14,"Prudencial","Limite excedido"))))</f>
        <v>Normal</v>
      </c>
      <c r="H17" s="15" t="str">
        <f>IF(H12="","",IF(H12&lt;'Parâmetros do painel'!B15,"Normal",IF(H12&lt;'Parâmetros do painel'!C15,"Alerta",IF(H12&lt;'Parâmetros do painel'!D15,"Prudencial","Limite excedido"))))</f>
        <v>Normal</v>
      </c>
      <c r="I17" s="15" t="n"/>
      <c r="J17" s="15" t="n"/>
    </row>
    <row r="18" ht="40" customHeight="1">
      <c r="A18" s="19" t="inlineStr">
        <is>
          <t>LIMITE MÁXIMO — art. 20 da LRF — 54.00% (2025)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 ht="40" customHeight="1">
      <c r="A19" s="20" t="inlineStr">
        <is>
          <t>LIMITE PRUDENCIAL — art. 22 da LRF — 51.30% (2025)</t>
        </is>
      </c>
      <c r="C19" s="15" t="inlineStr">
        <is>
          <t>Fonte: SIM-AM, TCE-PR</t>
        </is>
      </c>
      <c r="I19" s="15" t="n"/>
      <c r="J19" s="15" t="n"/>
    </row>
    <row r="20" ht="40" customHeight="1">
      <c r="A20" s="21" t="inlineStr">
        <is>
          <t>LIMITE DE ALERTA — art. 59 da LRF — 48.60% (2025)</t>
        </is>
      </c>
      <c r="C20" s="15" t="inlineStr">
        <is>
          <t>Relatório emitido em: 2026-08-15T19:14:01-03:00</t>
        </is>
      </c>
      <c r="I20" s="15" t="n"/>
      <c r="J20" s="15" t="n"/>
    </row>
    <row r="42" ht="19" customHeight="1">
      <c r="A42" s="22" t="inlineStr">
        <is>
          <t>RCL ajustada: o rótulo RREO reproduz o modelo; os valores vêm do RGF (relatório 20).
Média anual provisória: acumulada dividida pelos exercícios; altere em Parâmetros do painel.
MDE: sem classificação automática de conformidade. Primeiro semestre não coletado.</t>
        </is>
      </c>
    </row>
    <row r="43" ht="19" customHeight="1"/>
    <row r="44" ht="19" customHeight="1"/>
    <row r="45" ht="19" customHeight="1"/>
    <row r="46">
      <c r="A46" t="inlineStr">
        <is>
          <t>Limite de alerta por exercício</t>
        </is>
      </c>
      <c r="B46" s="3">
        <f>'Parâmetros do painel'!B9</f>
        <v>0.486</v>
      </c>
      <c r="C46" s="3">
        <f>'Parâmetros do painel'!B10</f>
        <v>0.486</v>
      </c>
      <c r="D46" s="3">
        <f>'Parâmetros do painel'!B11</f>
        <v>0.486</v>
      </c>
      <c r="E46" s="3">
        <f>'Parâmetros do painel'!B12</f>
        <v>0.486</v>
      </c>
      <c r="F46" s="3">
        <f>'Parâmetros do painel'!B13</f>
        <v>0.486</v>
      </c>
      <c r="G46" s="3">
        <f>'Parâmetros do painel'!B14</f>
        <v>0.486</v>
      </c>
      <c r="H46" s="3">
        <f>'Parâmetros do painel'!B15</f>
        <v>0.486</v>
      </c>
    </row>
    <row r="47">
      <c r="A47" t="inlineStr">
        <is>
          <t>Limite prudencial por exercício</t>
        </is>
      </c>
      <c r="B47" s="3">
        <f>'Parâmetros do painel'!C9</f>
        <v>0.513</v>
      </c>
      <c r="C47" s="3">
        <f>'Parâmetros do painel'!C10</f>
        <v>0.513</v>
      </c>
      <c r="D47" s="3">
        <f>'Parâmetros do painel'!C11</f>
        <v>0.513</v>
      </c>
      <c r="E47" s="3">
        <f>'Parâmetros do painel'!C12</f>
        <v>0.513</v>
      </c>
      <c r="F47" s="3">
        <f>'Parâmetros do painel'!C13</f>
        <v>0.513</v>
      </c>
      <c r="G47" s="3">
        <f>'Parâmetros do painel'!C14</f>
        <v>0.513</v>
      </c>
      <c r="H47" s="3">
        <f>'Parâmetros do painel'!C15</f>
        <v>0.513</v>
      </c>
    </row>
    <row r="48">
      <c r="A48" t="inlineStr">
        <is>
          <t>Limite máximo por exercício</t>
        </is>
      </c>
      <c r="B48" s="3">
        <f>'Parâmetros do painel'!D9</f>
        <v>0.54</v>
      </c>
      <c r="C48" s="3">
        <f>'Parâmetros do painel'!D10</f>
        <v>0.54</v>
      </c>
      <c r="D48" s="3">
        <f>'Parâmetros do painel'!D11</f>
        <v>0.54</v>
      </c>
      <c r="E48" s="3">
        <f>'Parâmetros do painel'!D12</f>
        <v>0.54</v>
      </c>
      <c r="F48" s="3">
        <f>'Parâmetros do painel'!D13</f>
        <v>0.54</v>
      </c>
      <c r="G48" s="3">
        <f>'Parâmetros do painel'!D14</f>
        <v>0.54</v>
      </c>
      <c r="H48" s="3">
        <f>'Parâmetros do painel'!D15</f>
        <v>0.54</v>
      </c>
    </row>
  </sheetData>
  <mergeCells count="15">
    <mergeCell ref="A20:B20"/>
    <mergeCell ref="C19:H19"/>
    <mergeCell ref="B4:B5"/>
    <mergeCell ref="C4:C5"/>
    <mergeCell ref="F4:F5"/>
    <mergeCell ref="D4:D5"/>
    <mergeCell ref="A2:H2"/>
    <mergeCell ref="E4:E5"/>
    <mergeCell ref="G4:G5"/>
    <mergeCell ref="H4:H5"/>
    <mergeCell ref="A19:B19"/>
    <mergeCell ref="A42:J45"/>
    <mergeCell ref="A1:H1"/>
    <mergeCell ref="A18:B18"/>
    <mergeCell ref="C20:H20"/>
  </mergeCells>
  <conditionalFormatting sqref="B12">
    <cfRule type="expression" priority="1" dxfId="0">
      <formula>AND(ISNUMBER(B12),B12&lt;B46)</formula>
    </cfRule>
    <cfRule type="expression" priority="2" dxfId="1">
      <formula>AND(ISNUMBER(B12),B12&gt;=B46,B12&lt;B47)</formula>
    </cfRule>
    <cfRule type="expression" priority="3" dxfId="2">
      <formula>AND(ISNUMBER(B12),B12&gt;=B47,B12&lt;B48)</formula>
    </cfRule>
    <cfRule type="expression" priority="4" dxfId="3">
      <formula>AND(ISNUMBER(B12),B12&gt;=B48)</formula>
    </cfRule>
  </conditionalFormatting>
  <conditionalFormatting sqref="C12">
    <cfRule type="expression" priority="5" dxfId="0">
      <formula>AND(ISNUMBER(C12),C12&lt;C46)</formula>
    </cfRule>
    <cfRule type="expression" priority="6" dxfId="1">
      <formula>AND(ISNUMBER(C12),C12&gt;=C46,C12&lt;C47)</formula>
    </cfRule>
    <cfRule type="expression" priority="7" dxfId="2">
      <formula>AND(ISNUMBER(C12),C12&gt;=C47,C12&lt;C48)</formula>
    </cfRule>
    <cfRule type="expression" priority="8" dxfId="3">
      <formula>AND(ISNUMBER(C12),C12&gt;=C48)</formula>
    </cfRule>
  </conditionalFormatting>
  <conditionalFormatting sqref="D12">
    <cfRule type="expression" priority="9" dxfId="0">
      <formula>AND(ISNUMBER(D12),D12&lt;D46)</formula>
    </cfRule>
    <cfRule type="expression" priority="10" dxfId="1">
      <formula>AND(ISNUMBER(D12),D12&gt;=D46,D12&lt;D47)</formula>
    </cfRule>
    <cfRule type="expression" priority="11" dxfId="2">
      <formula>AND(ISNUMBER(D12),D12&gt;=D47,D12&lt;D48)</formula>
    </cfRule>
    <cfRule type="expression" priority="12" dxfId="3">
      <formula>AND(ISNUMBER(D12),D12&gt;=D48)</formula>
    </cfRule>
  </conditionalFormatting>
  <conditionalFormatting sqref="E12">
    <cfRule type="expression" priority="13" dxfId="0">
      <formula>AND(ISNUMBER(E12),E12&lt;E46)</formula>
    </cfRule>
    <cfRule type="expression" priority="14" dxfId="1">
      <formula>AND(ISNUMBER(E12),E12&gt;=E46,E12&lt;E47)</formula>
    </cfRule>
    <cfRule type="expression" priority="15" dxfId="2">
      <formula>AND(ISNUMBER(E12),E12&gt;=E47,E12&lt;E48)</formula>
    </cfRule>
    <cfRule type="expression" priority="16" dxfId="3">
      <formula>AND(ISNUMBER(E12),E12&gt;=E48)</formula>
    </cfRule>
  </conditionalFormatting>
  <conditionalFormatting sqref="F12">
    <cfRule type="expression" priority="17" dxfId="0">
      <formula>AND(ISNUMBER(F12),F12&lt;F46)</formula>
    </cfRule>
    <cfRule type="expression" priority="18" dxfId="1">
      <formula>AND(ISNUMBER(F12),F12&gt;=F46,F12&lt;F47)</formula>
    </cfRule>
    <cfRule type="expression" priority="19" dxfId="2">
      <formula>AND(ISNUMBER(F12),F12&gt;=F47,F12&lt;F48)</formula>
    </cfRule>
    <cfRule type="expression" priority="20" dxfId="3">
      <formula>AND(ISNUMBER(F12),F12&gt;=F48)</formula>
    </cfRule>
  </conditionalFormatting>
  <conditionalFormatting sqref="G12">
    <cfRule type="expression" priority="21" dxfId="0">
      <formula>AND(ISNUMBER(G12),G12&lt;G46)</formula>
    </cfRule>
    <cfRule type="expression" priority="22" dxfId="1">
      <formula>AND(ISNUMBER(G12),G12&gt;=G46,G12&lt;G47)</formula>
    </cfRule>
    <cfRule type="expression" priority="23" dxfId="2">
      <formula>AND(ISNUMBER(G12),G12&gt;=G47,G12&lt;G48)</formula>
    </cfRule>
    <cfRule type="expression" priority="24" dxfId="3">
      <formula>AND(ISNUMBER(G12),G12&gt;=G48)</formula>
    </cfRule>
  </conditionalFormatting>
  <conditionalFormatting sqref="H12">
    <cfRule type="expression" priority="25" dxfId="0">
      <formula>AND(ISNUMBER(H12),H12&lt;H46)</formula>
    </cfRule>
    <cfRule type="expression" priority="26" dxfId="1">
      <formula>AND(ISNUMBER(H12),H12&gt;=H46,H12&lt;H47)</formula>
    </cfRule>
    <cfRule type="expression" priority="27" dxfId="2">
      <formula>AND(ISNUMBER(H12),H12&gt;=H47,H12&lt;H48)</formula>
    </cfRule>
    <cfRule type="expression" priority="28" dxfId="3">
      <formula>AND(ISNUMBER(H12),H12&gt;=H48)</formula>
    </cfRule>
  </conditionalFormatting>
  <pageMargins left="0.25" right="0.25" top="0.35" bottom="0.35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75" customWidth="1" min="3" max="3"/>
    <col width="18" customWidth="1" min="4" max="4"/>
  </cols>
  <sheetData>
    <row r="1">
      <c r="A1" s="22" t="inlineStr">
        <is>
          <t>Parâmetro</t>
        </is>
      </c>
      <c r="B1" s="22" t="inlineStr">
        <is>
          <t>Valor</t>
        </is>
      </c>
      <c r="C1" s="22" t="inlineStr">
        <is>
          <t>Premissa</t>
        </is>
      </c>
      <c r="D1" s="22" t="n"/>
    </row>
    <row r="2" ht="55" customHeight="1">
      <c r="A2" s="22" t="inlineStr">
        <is>
          <t>Média anual</t>
        </is>
      </c>
      <c r="B2" s="22" t="inlineStr">
        <is>
          <t>exercicios</t>
        </is>
      </c>
      <c r="C2" s="22" t="inlineStr">
        <is>
          <t>exercicios: acumulada/número de anos; intervalos: acumulada/distância entre anos; geometrica: taxa composta por intervalo.</t>
        </is>
      </c>
      <c r="D2" s="22" t="n"/>
    </row>
    <row r="3">
      <c r="A3" s="22" t="inlineStr">
        <is>
          <t>Exercícios analisados</t>
        </is>
      </c>
      <c r="B3" s="22" t="n">
        <v>7</v>
      </c>
      <c r="C3" s="22" t="inlineStr">
        <is>
          <t>Não inclui anos sem resultado.</t>
        </is>
      </c>
      <c r="D3" s="22" t="n"/>
    </row>
    <row r="4">
      <c r="A4" s="22" t="inlineStr">
        <is>
          <t>Intervalos</t>
        </is>
      </c>
      <c r="B4" s="22" t="n">
        <v>6</v>
      </c>
      <c r="C4" s="22" t="inlineStr">
        <is>
          <t>Distância temporal entre primeiro e último exercício válido.</t>
        </is>
      </c>
      <c r="D4" s="22" t="n"/>
    </row>
    <row r="5" ht="45" customHeight="1">
      <c r="A5" s="22" t="inlineStr">
        <is>
          <t>Fonte RCL ajustada</t>
        </is>
      </c>
      <c r="B5" s="22" t="inlineStr">
        <is>
          <t>RGF (relatório 20)</t>
        </is>
      </c>
      <c r="C5" s="22" t="inlineStr">
        <is>
          <t>O modelo rotula RREO; a fonte efetivamente coletada é RGF, conferida com relatório 10.</t>
        </is>
      </c>
      <c r="D5" s="22" t="n"/>
    </row>
    <row r="6" ht="40" customHeight="1">
      <c r="A6" s="22" t="inlineStr">
        <is>
          <t>Interpretação MDE</t>
        </is>
      </c>
      <c r="B6" s="22" t="inlineStr">
        <is>
          <t>não automatizada</t>
        </is>
      </c>
      <c r="C6" s="22" t="inlineStr">
        <is>
          <t>A referência constitucional de 25% exige indicador e denominador confirmados.</t>
        </is>
      </c>
      <c r="D6" s="22" t="n"/>
    </row>
    <row r="7">
      <c r="A7" s="22" t="inlineStr">
        <is>
          <t>Primeiro semestre</t>
        </is>
      </c>
      <c r="B7" s="22" t="inlineStr">
        <is>
          <t>não coletado</t>
        </is>
      </c>
      <c r="C7" s="22" t="inlineStr">
        <is>
          <t>Não há valores mensais no coletor atual; nenhuma estimativa foi preenchida.</t>
        </is>
      </c>
      <c r="D7" s="22" t="n"/>
    </row>
    <row r="8">
      <c r="A8" s="22" t="inlineStr">
        <is>
          <t>Ano</t>
        </is>
      </c>
      <c r="B8" s="22" t="inlineStr">
        <is>
          <t>Alerta</t>
        </is>
      </c>
      <c r="C8" s="22" t="inlineStr">
        <is>
          <t>Prudencial</t>
        </is>
      </c>
      <c r="D8" s="22" t="inlineStr">
        <is>
          <t>Máximo</t>
        </is>
      </c>
    </row>
    <row r="9">
      <c r="A9" s="22" t="n">
        <v>2019</v>
      </c>
      <c r="B9" s="22" t="n">
        <v>0.486</v>
      </c>
      <c r="C9" s="22" t="n">
        <v>0.513</v>
      </c>
      <c r="D9" s="22" t="n">
        <v>0.54</v>
      </c>
    </row>
    <row r="10">
      <c r="A10" s="22" t="n">
        <v>2020</v>
      </c>
      <c r="B10" s="22" t="n">
        <v>0.486</v>
      </c>
      <c r="C10" s="22" t="n">
        <v>0.513</v>
      </c>
      <c r="D10" s="22" t="n">
        <v>0.54</v>
      </c>
    </row>
    <row r="11">
      <c r="A11" s="22" t="n">
        <v>2021</v>
      </c>
      <c r="B11" s="22" t="n">
        <v>0.486</v>
      </c>
      <c r="C11" s="22" t="n">
        <v>0.513</v>
      </c>
      <c r="D11" s="22" t="n">
        <v>0.54</v>
      </c>
    </row>
    <row r="12">
      <c r="A12" s="22" t="n">
        <v>2022</v>
      </c>
      <c r="B12" s="22" t="n">
        <v>0.486</v>
      </c>
      <c r="C12" s="22" t="n">
        <v>0.513</v>
      </c>
      <c r="D12" s="22" t="n">
        <v>0.54</v>
      </c>
    </row>
    <row r="13">
      <c r="A13" s="22" t="n">
        <v>2023</v>
      </c>
      <c r="B13" s="22" t="n">
        <v>0.486</v>
      </c>
      <c r="C13" s="22" t="n">
        <v>0.513</v>
      </c>
      <c r="D13" s="22" t="n">
        <v>0.54</v>
      </c>
    </row>
    <row r="14">
      <c r="A14" s="22" t="n">
        <v>2024</v>
      </c>
      <c r="B14" s="22" t="n">
        <v>0.486</v>
      </c>
      <c r="C14" s="22" t="n">
        <v>0.513</v>
      </c>
      <c r="D14" s="22" t="n">
        <v>0.54</v>
      </c>
    </row>
    <row r="15">
      <c r="A15" s="22" t="n">
        <v>2025</v>
      </c>
      <c r="B15" s="22" t="n">
        <v>0.486</v>
      </c>
      <c r="C15" s="22" t="n">
        <v>0.513</v>
      </c>
      <c r="D15" s="22" t="n">
        <v>0.54</v>
      </c>
    </row>
  </sheetData>
  <dataValidations count="1">
    <dataValidation sqref="B2" showDropDown="0" showInputMessage="0" showErrorMessage="0" allowBlank="0" type="list">
      <formula1>"exercicios,intervalos,geometrica"</formula1>
    </dataValidation>
  </dataValidations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" t="inlineStr">
        <is>
          <t>Ano</t>
        </is>
      </c>
      <c r="B1" s="23" t="inlineStr">
        <is>
          <t>Mensagem</t>
        </is>
      </c>
    </row>
    <row r="2">
      <c r="A2" t="inlineStr">
        <is>
          <t>—</t>
        </is>
      </c>
      <c r="B2" s="24" t="inlineStr">
        <is>
          <t>Nenhum exercício falhou na coleta.</t>
        </is>
      </c>
    </row>
  </sheetData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2026-10-05T02:12:21Z</dcterms:created>
  <dcterms:modified xmlns:dcterms="http://purl.org/dc/terms/" xmlns:xsi="http://www.w3.org/2001/XMLSchema-instance" xsi:type="dcterms:W3CDTF">2026-10-05T02:12:21Z</dcterms:modified>
</cp:coreProperties>
</file>