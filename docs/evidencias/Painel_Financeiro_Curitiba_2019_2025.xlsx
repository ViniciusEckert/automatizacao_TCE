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histórico" sheetId="1" state="visible" r:id="rId1"/>
    <sheet xmlns:r="http://schemas.openxmlformats.org/officeDocument/2006/relationships" name="Histórico" sheetId="2" state="visible" r:id="rId2"/>
    <sheet xmlns:r="http://schemas.openxmlformats.org/officeDocument/2006/relationships" name="Painel financeiro" sheetId="3" state="visible" r:id="rId3"/>
    <sheet xmlns:r="http://schemas.openxmlformats.org/officeDocument/2006/relationships" name="Erros e pendências" sheetId="4" state="visible" r:id="rId4"/>
  </sheets>
  <definedNames>
    <definedName name="_xlnm.Print_Area" localSheetId="0">'Resumo histórico'!$A$1:$T$33</definedName>
    <definedName name="_xlnm._FilterDatabase" localSheetId="1" hidden="1">'Histórico'!$A$1:$R$8</definedName>
    <definedName name="_xlnm.Print_Area" localSheetId="1">'Histórico'!$A$1:$R$8</definedName>
    <definedName name="_xlnm.Print_Area" localSheetId="2">'Painel financeiro'!$A$1:$H$50</definedName>
    <definedName name="_xlnm.Print_Area" localSheetId="3">'Erros e pendências'!$A$1:$B$2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i val="1"/>
      <color rgb="0048625C"/>
      <sz val="10"/>
    </font>
    <font>
      <b val="1"/>
      <color rgb="0017322C"/>
    </font>
  </fonts>
  <fills count="7">
    <fill>
      <patternFill/>
    </fill>
    <fill>
      <patternFill patternType="gray125"/>
    </fill>
    <fill>
      <patternFill patternType="solid">
        <fgColor rgb="00124B3A"/>
      </patternFill>
    </fill>
    <fill>
      <patternFill patternType="solid">
        <fgColor rgb="001E6B53"/>
      </patternFill>
    </fill>
    <fill>
      <patternFill patternType="solid">
        <fgColor rgb="00C7DB78"/>
      </patternFill>
    </fill>
    <fill>
      <patternFill patternType="solid">
        <fgColor rgb="00EAF4EC"/>
      </patternFill>
    </fill>
    <fill>
      <patternFill patternType="solid">
        <fgColor rgb="00ECEAE4"/>
      </patternFill>
    </fill>
  </fills>
  <borders count="2">
    <border>
      <left/>
      <right/>
      <top/>
      <bottom/>
      <diagonal/>
    </border>
    <border>
      <left style="thin">
        <color rgb="00DCD8CC"/>
      </left>
      <right style="thin">
        <color rgb="00DCD8CC"/>
      </right>
      <top style="thin">
        <color rgb="00DCD8CC"/>
      </top>
      <bottom style="thin">
        <color rgb="00DCD8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10" fontId="0" fillId="0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3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164" fontId="0" fillId="0" borderId="1" pivotButton="0" quotePrefix="0" xfId="0"/>
    <xf numFmtId="1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6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C7DB78"/>
        </patternFill>
      </fill>
    </dxf>
    <dxf>
      <fill>
        <patternFill patternType="solid">
          <fgColor rgb="00E6BA59"/>
        </patternFill>
      </fill>
    </dxf>
    <dxf>
      <fill>
        <patternFill patternType="solid">
          <fgColor rgb="00D98D42"/>
        </patternFill>
      </fill>
    </dxf>
    <dxf>
      <fill>
        <patternFill patternType="solid">
          <fgColor rgb="00BD5C4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dos valores financeiros</a:t>
            </a:r>
          </a:p>
        </rich>
      </tx>
    </title>
    <plotArea>
      <lineChart>
        <grouping val="standard"/>
        <ser>
          <idx val="0"/>
          <order val="0"/>
          <tx>
            <strRef>
              <f>'Histórico'!C1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'Histórico'!$A$2:$A$8</f>
            </numRef>
          </cat>
          <val>
            <numRef>
              <f>'Histórico'!$C$2:$C$8</f>
            </numRef>
          </val>
        </ser>
        <ser>
          <idx val="1"/>
          <order val="1"/>
          <tx>
            <strRef>
              <f>'Histórico'!D1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'Histórico'!$A$2:$A$8</f>
            </numRef>
          </cat>
          <val>
            <numRef>
              <f>'Histórico'!$D$2:$D$8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Exercício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em 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Comprometimento com pessoal</a:t>
            </a:r>
          </a:p>
        </rich>
      </tx>
    </title>
    <plotArea>
      <lineChart>
        <grouping val="standard"/>
        <ser>
          <idx val="0"/>
          <order val="0"/>
          <tx>
            <strRef>
              <f>'Histórico'!F1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'Histórico'!$A$2:$A$8</f>
            </numRef>
          </cat>
          <val>
            <numRef>
              <f>'Histórico'!$F$2:$F$8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RCL ajustada e despesa com pessoal</a:t>
            </a:r>
          </a:p>
        </rich>
      </tx>
    </title>
    <plotArea>
      <lineChart>
        <grouping val="standard"/>
        <ser>
          <idx val="0"/>
          <order val="0"/>
          <tx>
            <strRef>
              <f>'Painel financeiro'!A4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 financeiro'!$B$3:$H$3</f>
            </numRef>
          </cat>
          <val>
            <numRef>
              <f>'Painel financeiro'!$B$4:$H$4</f>
            </numRef>
          </val>
        </ser>
        <ser>
          <idx val="1"/>
          <order val="1"/>
          <tx>
            <strRef>
              <f>'Painel financeiro'!A6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 financeiro'!$B$3:$H$3</f>
            </numRef>
          </cat>
          <val>
            <numRef>
              <f>'Painel financeiro'!$B$6:$H$6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em 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Comprometimento da RCL ajustada</a:t>
            </a:r>
          </a:p>
        </rich>
      </tx>
    </title>
    <plotArea>
      <lineChart>
        <grouping val="standard"/>
        <ser>
          <idx val="0"/>
          <order val="0"/>
          <tx>
            <strRef>
              <f>'Painel financeiro'!A8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 financeiro'!$B$3:$H$3</f>
            </numRef>
          </cat>
          <val>
            <numRef>
              <f>'Painel financeiro'!$B$8:$H$8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34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18" customWidth="1" min="3" max="3"/>
    <col width="44" customWidth="1" min="4" max="4"/>
  </cols>
  <sheetData>
    <row r="1" ht="28" customHeight="1">
      <c r="A1" s="1" t="inlineStr">
        <is>
          <t>HISTÓRICO FINANCEIRO DO MAGISTÉRIO MUNICIPAL</t>
        </is>
      </c>
    </row>
    <row r="2">
      <c r="A2" t="inlineStr">
        <is>
          <t>Município</t>
        </is>
      </c>
      <c r="B2" t="inlineStr">
        <is>
          <t>Curitiba</t>
        </is>
      </c>
      <c r="C2" t="inlineStr">
        <is>
          <t>Entidade</t>
        </is>
      </c>
      <c r="D2" t="inlineStr">
        <is>
          <t>Município de Curitiba</t>
        </is>
      </c>
    </row>
    <row r="3">
      <c r="A3" t="inlineStr">
        <is>
          <t>Período</t>
        </is>
      </c>
      <c r="B3" t="inlineStr">
        <is>
          <t>2019–2025</t>
        </is>
      </c>
      <c r="C3" t="inlineStr">
        <is>
          <t>Coletado em</t>
        </is>
      </c>
      <c r="D3" t="inlineStr">
        <is>
          <t>2026-08-15T19:14:01-03:00</t>
        </is>
      </c>
    </row>
    <row r="5">
      <c r="A5" s="2" t="inlineStr">
        <is>
          <t>Indicador</t>
        </is>
      </c>
      <c r="B5" s="2" t="inlineStr">
        <is>
          <t>Resultado</t>
        </is>
      </c>
      <c r="C5" s="2" t="n"/>
      <c r="D5" s="2" t="n"/>
    </row>
    <row r="6">
      <c r="A6" t="inlineStr">
        <is>
          <t>Exercícios analisados</t>
        </is>
      </c>
      <c r="B6" t="n">
        <v>7</v>
      </c>
    </row>
    <row r="7">
      <c r="A7" t="inlineStr">
        <is>
          <t>Exercícios com erro</t>
        </is>
      </c>
      <c r="B7" t="n">
        <v>0</v>
      </c>
    </row>
    <row r="8">
      <c r="A8" t="inlineStr">
        <is>
          <t>Evolução acumulada da RCL ajustada</t>
        </is>
      </c>
      <c r="B8" s="3" t="n">
        <v>0.6762070614029948</v>
      </c>
    </row>
    <row r="9">
      <c r="A9" t="inlineStr">
        <is>
          <t>Evolução acumulada da despesa</t>
        </is>
      </c>
      <c r="B9" s="3" t="n">
        <v>0.7108498530561953</v>
      </c>
    </row>
    <row r="10">
      <c r="A10" t="inlineStr">
        <is>
          <t>Evolução acumulada das receitas do FUNDEB</t>
        </is>
      </c>
      <c r="B10" s="3" t="n">
        <v>0.7387247774911301</v>
      </c>
    </row>
    <row r="11">
      <c r="A11" t="inlineStr">
        <is>
          <t>Média de comprometimento</t>
        </is>
      </c>
      <c r="B11" s="3" t="n">
        <v>0.38826</v>
      </c>
    </row>
    <row r="12">
      <c r="A12" t="inlineStr">
        <is>
          <t>Maior comprometimento</t>
        </is>
      </c>
      <c r="B12" s="3" t="n">
        <v>0.427749</v>
      </c>
    </row>
    <row r="13">
      <c r="A13" t="inlineStr">
        <is>
          <t>Ano do maior comprometimento</t>
        </is>
      </c>
      <c r="B13" t="n">
        <v>2023</v>
      </c>
    </row>
  </sheetData>
  <mergeCells count="1">
    <mergeCell ref="A1:D1"/>
  </mergeCells>
  <pageMargins left="0.25" right="0.25" top="0.35" bottom="0.35" header="0.5" footer="0.5"/>
  <pageSetup orientation="landscape" paperSize="9" fitToHeight="2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2" customWidth="1" min="4" max="4"/>
    <col width="14" customWidth="1" min="5" max="5"/>
    <col width="16" customWidth="1" min="6" max="6"/>
    <col width="20" customWidth="1" min="7" max="7"/>
    <col width="20" customWidth="1" min="8" max="8"/>
    <col width="24" customWidth="1" min="9" max="9"/>
    <col width="16" customWidth="1" min="10" max="10"/>
    <col width="16" customWidth="1" min="11" max="11"/>
    <col width="16" customWidth="1" min="12" max="12"/>
    <col width="16" customWidth="1" min="13" max="13"/>
    <col width="23" customWidth="1" min="14" max="14"/>
    <col width="55" customWidth="1" min="15" max="15"/>
    <col width="16" customWidth="1" min="16" max="16"/>
    <col width="18" customWidth="1" min="17" max="17"/>
    <col width="16" customWidth="1" min="18" max="18"/>
  </cols>
  <sheetData>
    <row r="1">
      <c r="A1" s="2" t="inlineStr">
        <is>
          <t>Ano</t>
        </is>
      </c>
      <c r="B1" s="2" t="inlineStr">
        <is>
          <t>RCL</t>
        </is>
      </c>
      <c r="C1" s="2" t="inlineStr">
        <is>
          <t>RCL ajustada</t>
        </is>
      </c>
      <c r="D1" s="2" t="inlineStr">
        <is>
          <t>Despesa com pessoal</t>
        </is>
      </c>
      <c r="E1" s="2" t="inlineStr">
        <is>
          <t>% oficial</t>
        </is>
      </c>
      <c r="F1" s="2" t="inlineStr">
        <is>
          <t>% recalculado</t>
        </is>
      </c>
      <c r="G1" s="2" t="inlineStr">
        <is>
          <t>Classificação</t>
        </is>
      </c>
      <c r="H1" s="2" t="inlineStr">
        <is>
          <t>Receitas FUNDEB</t>
        </is>
      </c>
      <c r="I1" s="2" t="inlineStr">
        <is>
          <t>Resultado líquido FUNDEB</t>
        </is>
      </c>
      <c r="J1" s="2" t="inlineStr">
        <is>
          <t>Aplicação MDE</t>
        </is>
      </c>
      <c r="K1" s="2" t="inlineStr">
        <is>
          <t>Δ RCL ajustada</t>
        </is>
      </c>
      <c r="L1" s="2" t="inlineStr">
        <is>
          <t>Δ despesa</t>
        </is>
      </c>
      <c r="M1" s="2" t="inlineStr">
        <is>
          <t>Δ FUNDEB</t>
        </is>
      </c>
      <c r="N1" s="2" t="inlineStr">
        <is>
          <t>Δ comprometimento (p.p.)</t>
        </is>
      </c>
      <c r="O1" s="2" t="inlineStr">
        <is>
          <t>Avisos</t>
        </is>
      </c>
      <c r="P1" s="2" t="inlineStr">
        <is>
          <t>Limite de alerta</t>
        </is>
      </c>
      <c r="Q1" s="2" t="inlineStr">
        <is>
          <t>Limite prudencial</t>
        </is>
      </c>
      <c r="R1" s="2" t="inlineStr">
        <is>
          <t>Limite máximo</t>
        </is>
      </c>
    </row>
    <row r="2">
      <c r="A2" t="n">
        <v>2019</v>
      </c>
      <c r="B2" s="4" t="n">
        <v>7361430652.73</v>
      </c>
      <c r="C2" s="4" t="n">
        <v>7359872310.73</v>
      </c>
      <c r="D2" s="4" t="n">
        <v>2786074714.14</v>
      </c>
      <c r="E2" s="3" t="n">
        <v>0.3785</v>
      </c>
      <c r="F2" s="3" t="n">
        <v>0.378549</v>
      </c>
      <c r="G2" s="5" t="inlineStr">
        <is>
          <t>normal</t>
        </is>
      </c>
      <c r="H2" s="4" t="n">
        <v>600162934.45</v>
      </c>
      <c r="I2" s="4" t="n">
        <v>275212940.29</v>
      </c>
      <c r="J2" s="3" t="n"/>
      <c r="K2" s="3" t="n"/>
      <c r="L2" s="3" t="n"/>
      <c r="M2" s="3" t="n"/>
      <c r="N2" s="3" t="n"/>
      <c r="O2" t="inlineStr"/>
      <c r="P2" s="3" t="n">
        <v>0.486</v>
      </c>
      <c r="Q2" s="3" t="n">
        <v>0.513</v>
      </c>
      <c r="R2" s="3" t="n">
        <v>0.54</v>
      </c>
    </row>
    <row r="3">
      <c r="A3" t="n">
        <v>2020</v>
      </c>
      <c r="B3" s="4" t="n">
        <v>7866853355.9</v>
      </c>
      <c r="C3" s="4" t="n">
        <v>7835897240.9</v>
      </c>
      <c r="D3" s="4" t="n">
        <v>2884571613.07</v>
      </c>
      <c r="E3" s="3" t="n">
        <v>0.3681</v>
      </c>
      <c r="F3" s="3" t="n">
        <v>0.368123</v>
      </c>
      <c r="G3" s="5" t="inlineStr">
        <is>
          <t>normal</t>
        </is>
      </c>
      <c r="H3" s="4" t="n">
        <v>572011470.9299999</v>
      </c>
      <c r="I3" s="4" t="n">
        <v>254454213.64</v>
      </c>
      <c r="J3" s="3" t="n"/>
      <c r="K3" s="3" t="n">
        <v>0.06467842240632371</v>
      </c>
      <c r="L3" s="3" t="n">
        <v>0.03535328698476925</v>
      </c>
      <c r="M3" s="3" t="n">
        <v>-0.04690636809452187</v>
      </c>
      <c r="N3" s="3" t="n">
        <v>-0.010426</v>
      </c>
      <c r="O3" t="inlineStr"/>
      <c r="P3" s="3" t="n">
        <v>0.486</v>
      </c>
      <c r="Q3" s="3" t="n">
        <v>0.513</v>
      </c>
      <c r="R3" s="3" t="n">
        <v>0.54</v>
      </c>
    </row>
    <row r="4">
      <c r="A4" t="n">
        <v>2021</v>
      </c>
      <c r="B4" s="4" t="n">
        <v>8289494820.45</v>
      </c>
      <c r="C4" s="4" t="n">
        <v>8282730694.45</v>
      </c>
      <c r="D4" s="4" t="n">
        <v>3186380692.32</v>
      </c>
      <c r="E4" s="3" t="n">
        <v>0.3847</v>
      </c>
      <c r="F4" s="3" t="n">
        <v>0.384702</v>
      </c>
      <c r="G4" s="5" t="inlineStr">
        <is>
          <t>normal</t>
        </is>
      </c>
      <c r="H4" s="4" t="n">
        <v>713790814.6799999</v>
      </c>
      <c r="I4" s="4" t="n">
        <v>339905724.21</v>
      </c>
      <c r="J4" s="3" t="n"/>
      <c r="K4" s="3" t="n">
        <v>0.05702390419538972</v>
      </c>
      <c r="L4" s="3" t="n">
        <v>0.1046287351239616</v>
      </c>
      <c r="M4" s="3" t="n">
        <v>0.2478610149539296</v>
      </c>
      <c r="N4" s="3" t="n">
        <v>0.01657899999999998</v>
      </c>
      <c r="O4" t="inlineStr"/>
      <c r="P4" s="3" t="n">
        <v>0.486</v>
      </c>
      <c r="Q4" s="3" t="n">
        <v>0.513</v>
      </c>
      <c r="R4" s="3" t="n">
        <v>0.54</v>
      </c>
    </row>
    <row r="5">
      <c r="A5" t="n">
        <v>2022</v>
      </c>
      <c r="B5" s="4" t="n">
        <v>9335522195.42</v>
      </c>
      <c r="C5" s="4" t="n">
        <v>9314379936.42</v>
      </c>
      <c r="D5" s="4" t="n">
        <v>3334993704.03</v>
      </c>
      <c r="E5" s="3" t="n">
        <v>0.358</v>
      </c>
      <c r="F5" s="3" t="n">
        <v>0.358048</v>
      </c>
      <c r="G5" s="5" t="inlineStr">
        <is>
          <t>normal</t>
        </is>
      </c>
      <c r="H5" s="4" t="n">
        <v>860918344.6</v>
      </c>
      <c r="I5" s="4" t="n">
        <v>424451388.91</v>
      </c>
      <c r="J5" s="3" t="n"/>
      <c r="K5" s="3" t="n">
        <v>0.1245542418349153</v>
      </c>
      <c r="L5" s="3" t="n">
        <v>0.04664006785761532</v>
      </c>
      <c r="M5" s="3" t="n">
        <v>0.2061213550162577</v>
      </c>
      <c r="N5" s="3" t="n">
        <v>-0.02665399999999998</v>
      </c>
      <c r="O5" t="inlineStr"/>
      <c r="P5" s="3" t="n">
        <v>0.486</v>
      </c>
      <c r="Q5" s="3" t="n">
        <v>0.513</v>
      </c>
      <c r="R5" s="3" t="n">
        <v>0.54</v>
      </c>
    </row>
    <row r="6">
      <c r="A6" t="n">
        <v>2023</v>
      </c>
      <c r="B6" s="4" t="n">
        <v>9967593104.790001</v>
      </c>
      <c r="C6" s="4" t="n">
        <v>9935910243.969999</v>
      </c>
      <c r="D6" s="4" t="n">
        <v>4250070902.71</v>
      </c>
      <c r="E6" s="3" t="n">
        <v>0.4277</v>
      </c>
      <c r="F6" s="3" t="n">
        <v>0.427749</v>
      </c>
      <c r="G6" s="5" t="inlineStr">
        <is>
          <t>normal</t>
        </is>
      </c>
      <c r="H6" s="4" t="n">
        <v>863804576.1799999</v>
      </c>
      <c r="I6" s="4" t="n">
        <v>408889476.88</v>
      </c>
      <c r="J6" s="3" t="n"/>
      <c r="K6" s="3" t="n">
        <v>0.06672803898837798</v>
      </c>
      <c r="L6" s="3" t="n">
        <v>0.2743864846204125</v>
      </c>
      <c r="M6" s="3" t="n">
        <v>0.003352503286871977</v>
      </c>
      <c r="N6" s="3" t="n">
        <v>0.06970100000000003</v>
      </c>
      <c r="O6" t="inlineStr"/>
      <c r="P6" s="3" t="n">
        <v>0.486</v>
      </c>
      <c r="Q6" s="3" t="n">
        <v>0.513</v>
      </c>
      <c r="R6" s="3" t="n">
        <v>0.54</v>
      </c>
    </row>
    <row r="7">
      <c r="A7" t="n">
        <v>2024</v>
      </c>
      <c r="B7" s="4" t="n">
        <v>11389418362.14</v>
      </c>
      <c r="C7" s="4" t="n">
        <v>11309265897.14</v>
      </c>
      <c r="D7" s="4" t="n">
        <v>4685119821.38</v>
      </c>
      <c r="E7" s="3" t="n">
        <v>0.4143</v>
      </c>
      <c r="F7" s="3" t="n">
        <v>0.414273</v>
      </c>
      <c r="G7" s="5" t="inlineStr">
        <is>
          <t>normal</t>
        </is>
      </c>
      <c r="H7" s="4" t="n">
        <v>1006315150.2</v>
      </c>
      <c r="I7" s="4" t="n">
        <v>494682509.16</v>
      </c>
      <c r="J7" s="3" t="n"/>
      <c r="K7" s="3" t="n">
        <v>0.138221423045108</v>
      </c>
      <c r="L7" s="3" t="n">
        <v>0.1023627437350745</v>
      </c>
      <c r="M7" s="3" t="n">
        <v>0.1649801100269972</v>
      </c>
      <c r="N7" s="3" t="n">
        <v>-0.013476</v>
      </c>
      <c r="O7" t="inlineStr"/>
      <c r="P7" s="3" t="n">
        <v>0.486</v>
      </c>
      <c r="Q7" s="3" t="n">
        <v>0.513</v>
      </c>
      <c r="R7" s="3" t="n">
        <v>0.54</v>
      </c>
    </row>
    <row r="8">
      <c r="A8" t="n">
        <v>2025</v>
      </c>
      <c r="B8" s="4" t="n">
        <v>12392660007.87</v>
      </c>
      <c r="C8" s="4" t="n">
        <v>12336669938.27</v>
      </c>
      <c r="D8" s="4" t="n">
        <v>4766555515.29</v>
      </c>
      <c r="E8" s="3" t="n">
        <v>0.3864</v>
      </c>
      <c r="F8" s="3" t="n">
        <v>0.386373</v>
      </c>
      <c r="G8" s="5" t="inlineStr">
        <is>
          <t>normal</t>
        </is>
      </c>
      <c r="H8" s="4" t="n">
        <v>1043518164.66</v>
      </c>
      <c r="I8" s="4" t="n">
        <v>490221827.16</v>
      </c>
      <c r="J8" s="3" t="n"/>
      <c r="K8" s="3" t="n">
        <v>0.09084621853217033</v>
      </c>
      <c r="L8" s="3" t="n">
        <v>0.01738177400252972</v>
      </c>
      <c r="M8" s="3" t="n">
        <v>0.03696954622277726</v>
      </c>
      <c r="N8" s="3" t="n">
        <v>-0.02789999999999999</v>
      </c>
      <c r="O8" t="inlineStr"/>
      <c r="P8" s="3" t="n">
        <v>0.486</v>
      </c>
      <c r="Q8" s="3" t="n">
        <v>0.513</v>
      </c>
      <c r="R8" s="3" t="n">
        <v>0.54</v>
      </c>
    </row>
  </sheetData>
  <autoFilter ref="A1:R8"/>
  <pageMargins left="0.25" right="0.25" top="0.35" bottom="0.35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PAINEL DE ANÁLISE FINANCEIRA DO MAGISTÉRIO</t>
        </is>
      </c>
    </row>
    <row r="2">
      <c r="A2" s="6" t="inlineStr">
        <is>
          <t>Fórmulas vinculadas à aba Histórico - sem referências externas</t>
        </is>
      </c>
    </row>
    <row r="3">
      <c r="A3" s="7" t="inlineStr">
        <is>
          <t>Indicador</t>
        </is>
      </c>
      <c r="B3" s="7" t="n">
        <v>2019</v>
      </c>
      <c r="C3" s="7" t="n">
        <v>2020</v>
      </c>
      <c r="D3" s="7" t="n">
        <v>2021</v>
      </c>
      <c r="E3" s="7" t="n">
        <v>2022</v>
      </c>
      <c r="F3" s="7" t="n">
        <v>2023</v>
      </c>
      <c r="G3" s="7" t="n">
        <v>2024</v>
      </c>
      <c r="H3" s="7" t="n">
        <v>2025</v>
      </c>
    </row>
    <row r="4">
      <c r="A4" s="8" t="inlineStr">
        <is>
          <t>RCL ajustada</t>
        </is>
      </c>
      <c r="B4" s="9">
        <f>'Histórico'!C2</f>
        <v/>
      </c>
      <c r="C4" s="9">
        <f>'Histórico'!C3</f>
        <v/>
      </c>
      <c r="D4" s="9">
        <f>'Histórico'!C4</f>
        <v/>
      </c>
      <c r="E4" s="9">
        <f>'Histórico'!C5</f>
        <v/>
      </c>
      <c r="F4" s="9">
        <f>'Histórico'!C6</f>
        <v/>
      </c>
      <c r="G4" s="9">
        <f>'Histórico'!C7</f>
        <v/>
      </c>
      <c r="H4" s="9">
        <f>'Histórico'!C8</f>
        <v/>
      </c>
    </row>
    <row r="5">
      <c r="A5" s="8" t="inlineStr">
        <is>
          <t>Evolução anual da RCL ajustada</t>
        </is>
      </c>
      <c r="B5" s="10" t="n"/>
      <c r="C5" s="10">
        <f>IFERROR(C4/B4-1,"")</f>
        <v/>
      </c>
      <c r="D5" s="10">
        <f>IFERROR(D4/C4-1,"")</f>
        <v/>
      </c>
      <c r="E5" s="10">
        <f>IFERROR(E4/D4-1,"")</f>
        <v/>
      </c>
      <c r="F5" s="10">
        <f>IFERROR(F4/E4-1,"")</f>
        <v/>
      </c>
      <c r="G5" s="10">
        <f>IFERROR(G4/F4-1,"")</f>
        <v/>
      </c>
      <c r="H5" s="10">
        <f>IFERROR(H4/G4-1,"")</f>
        <v/>
      </c>
    </row>
    <row r="6">
      <c r="A6" s="8" t="inlineStr">
        <is>
          <t>Despesa Total com Pessoal</t>
        </is>
      </c>
      <c r="B6" s="9">
        <f>'Histórico'!D2</f>
        <v/>
      </c>
      <c r="C6" s="9">
        <f>'Histórico'!D3</f>
        <v/>
      </c>
      <c r="D6" s="9">
        <f>'Histórico'!D4</f>
        <v/>
      </c>
      <c r="E6" s="9">
        <f>'Histórico'!D5</f>
        <v/>
      </c>
      <c r="F6" s="9">
        <f>'Histórico'!D6</f>
        <v/>
      </c>
      <c r="G6" s="9">
        <f>'Histórico'!D7</f>
        <v/>
      </c>
      <c r="H6" s="9">
        <f>'Histórico'!D8</f>
        <v/>
      </c>
    </row>
    <row r="7">
      <c r="A7" s="8" t="inlineStr">
        <is>
          <t>Evolução anual da despesa</t>
        </is>
      </c>
      <c r="B7" s="10" t="n"/>
      <c r="C7" s="10">
        <f>IFERROR(C6/B6-1,"")</f>
        <v/>
      </c>
      <c r="D7" s="10">
        <f>IFERROR(D6/C6-1,"")</f>
        <v/>
      </c>
      <c r="E7" s="10">
        <f>IFERROR(E6/D6-1,"")</f>
        <v/>
      </c>
      <c r="F7" s="10">
        <f>IFERROR(F6/E6-1,"")</f>
        <v/>
      </c>
      <c r="G7" s="10">
        <f>IFERROR(G6/F6-1,"")</f>
        <v/>
      </c>
      <c r="H7" s="10">
        <f>IFERROR(H6/G6-1,"")</f>
        <v/>
      </c>
    </row>
    <row r="8">
      <c r="A8" s="8" t="inlineStr">
        <is>
          <t>DTP / RCL ajustada</t>
        </is>
      </c>
      <c r="B8" s="10">
        <f>IFERROR(B6/B4,"")</f>
        <v/>
      </c>
      <c r="C8" s="10">
        <f>IFERROR(C6/C4,"")</f>
        <v/>
      </c>
      <c r="D8" s="10">
        <f>IFERROR(D6/D4,"")</f>
        <v/>
      </c>
      <c r="E8" s="10">
        <f>IFERROR(E6/E4,"")</f>
        <v/>
      </c>
      <c r="F8" s="10">
        <f>IFERROR(F6/F4,"")</f>
        <v/>
      </c>
      <c r="G8" s="10">
        <f>IFERROR(G6/G4,"")</f>
        <v/>
      </c>
      <c r="H8" s="10">
        <f>IFERROR(H6/H4,"")</f>
        <v/>
      </c>
    </row>
    <row r="9">
      <c r="A9" s="8" t="inlineStr">
        <is>
          <t>Classificação fiscal</t>
        </is>
      </c>
      <c r="B9" s="11">
        <f>IF(B8="","",IF(B8&lt;B14,"Normal",IF(B8&lt;B15,"Alerta",IF(B8&lt;B16,"Prudencial","Limite excedido"))))</f>
        <v/>
      </c>
      <c r="C9" s="11">
        <f>IF(C8="","",IF(C8&lt;C14,"Normal",IF(C8&lt;C15,"Alerta",IF(C8&lt;C16,"Prudencial","Limite excedido"))))</f>
        <v/>
      </c>
      <c r="D9" s="11">
        <f>IF(D8="","",IF(D8&lt;D14,"Normal",IF(D8&lt;D15,"Alerta",IF(D8&lt;D16,"Prudencial","Limite excedido"))))</f>
        <v/>
      </c>
      <c r="E9" s="11">
        <f>IF(E8="","",IF(E8&lt;E14,"Normal",IF(E8&lt;E15,"Alerta",IF(E8&lt;E16,"Prudencial","Limite excedido"))))</f>
        <v/>
      </c>
      <c r="F9" s="11">
        <f>IF(F8="","",IF(F8&lt;F14,"Normal",IF(F8&lt;F15,"Alerta",IF(F8&lt;F16,"Prudencial","Limite excedido"))))</f>
        <v/>
      </c>
      <c r="G9" s="11">
        <f>IF(G8="","",IF(G8&lt;G14,"Normal",IF(G8&lt;G15,"Alerta",IF(G8&lt;G16,"Prudencial","Limite excedido"))))</f>
        <v/>
      </c>
      <c r="H9" s="11">
        <f>IF(H8="","",IF(H8&lt;H14,"Normal",IF(H8&lt;H15,"Alerta",IF(H8&lt;H16,"Prudencial","Limite excedido"))))</f>
        <v/>
      </c>
    </row>
    <row r="10">
      <c r="A10" s="8" t="inlineStr">
        <is>
          <t>Receitas recebidas do FUNDEB</t>
        </is>
      </c>
      <c r="B10" s="9">
        <f>'Histórico'!H2</f>
        <v/>
      </c>
      <c r="C10" s="9">
        <f>'Histórico'!H3</f>
        <v/>
      </c>
      <c r="D10" s="9">
        <f>'Histórico'!H4</f>
        <v/>
      </c>
      <c r="E10" s="9">
        <f>'Histórico'!H5</f>
        <v/>
      </c>
      <c r="F10" s="9">
        <f>'Histórico'!H6</f>
        <v/>
      </c>
      <c r="G10" s="9">
        <f>'Histórico'!H7</f>
        <v/>
      </c>
      <c r="H10" s="9">
        <f>'Histórico'!H8</f>
        <v/>
      </c>
    </row>
    <row r="11">
      <c r="A11" s="8" t="inlineStr">
        <is>
          <t>Evolução anual do FUNDEB</t>
        </is>
      </c>
      <c r="B11" s="10" t="n"/>
      <c r="C11" s="10">
        <f>IFERROR(C10/B10-1,"")</f>
        <v/>
      </c>
      <c r="D11" s="10">
        <f>IFERROR(D10/C10-1,"")</f>
        <v/>
      </c>
      <c r="E11" s="10">
        <f>IFERROR(E10/D10-1,"")</f>
        <v/>
      </c>
      <c r="F11" s="10">
        <f>IFERROR(F10/E10-1,"")</f>
        <v/>
      </c>
      <c r="G11" s="10">
        <f>IFERROR(G10/F10-1,"")</f>
        <v/>
      </c>
      <c r="H11" s="10">
        <f>IFERROR(H10/G10-1,"")</f>
        <v/>
      </c>
    </row>
    <row r="12">
      <c r="A12" s="8" t="inlineStr">
        <is>
          <t>Aplicação constitucional em MDE</t>
        </is>
      </c>
      <c r="B12" s="10">
        <f>IF('Histórico'!J2="","",'Histórico'!J2)</f>
        <v/>
      </c>
      <c r="C12" s="10">
        <f>IF('Histórico'!J3="","",'Histórico'!J3)</f>
        <v/>
      </c>
      <c r="D12" s="10">
        <f>IF('Histórico'!J4="","",'Histórico'!J4)</f>
        <v/>
      </c>
      <c r="E12" s="10">
        <f>IF('Histórico'!J5="","",'Histórico'!J5)</f>
        <v/>
      </c>
      <c r="F12" s="10">
        <f>IF('Histórico'!J6="","",'Histórico'!J6)</f>
        <v/>
      </c>
      <c r="G12" s="10">
        <f>IF('Histórico'!J7="","",'Histórico'!J7)</f>
        <v/>
      </c>
      <c r="H12" s="10">
        <f>IF('Histórico'!J8="","",'Histórico'!J8)</f>
        <v/>
      </c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>
      <c r="A14" s="13" t="inlineStr">
        <is>
          <t>Limite de alerta</t>
        </is>
      </c>
      <c r="B14" s="10">
        <f>'Histórico'!P2</f>
        <v/>
      </c>
      <c r="C14" s="10">
        <f>'Histórico'!P3</f>
        <v/>
      </c>
      <c r="D14" s="10">
        <f>'Histórico'!P4</f>
        <v/>
      </c>
      <c r="E14" s="10">
        <f>'Histórico'!P5</f>
        <v/>
      </c>
      <c r="F14" s="10">
        <f>'Histórico'!P6</f>
        <v/>
      </c>
      <c r="G14" s="10">
        <f>'Histórico'!P7</f>
        <v/>
      </c>
      <c r="H14" s="10">
        <f>'Histórico'!P8</f>
        <v/>
      </c>
    </row>
    <row r="15">
      <c r="A15" s="13" t="inlineStr">
        <is>
          <t>Limite prudencial</t>
        </is>
      </c>
      <c r="B15" s="10">
        <f>'Histórico'!Q2</f>
        <v/>
      </c>
      <c r="C15" s="10">
        <f>'Histórico'!Q3</f>
        <v/>
      </c>
      <c r="D15" s="10">
        <f>'Histórico'!Q4</f>
        <v/>
      </c>
      <c r="E15" s="10">
        <f>'Histórico'!Q5</f>
        <v/>
      </c>
      <c r="F15" s="10">
        <f>'Histórico'!Q6</f>
        <v/>
      </c>
      <c r="G15" s="10">
        <f>'Histórico'!Q7</f>
        <v/>
      </c>
      <c r="H15" s="10">
        <f>'Histórico'!Q8</f>
        <v/>
      </c>
    </row>
    <row r="16">
      <c r="A16" s="13" t="inlineStr">
        <is>
          <t>Limite máximo</t>
        </is>
      </c>
      <c r="B16" s="10">
        <f>'Histórico'!R2</f>
        <v/>
      </c>
      <c r="C16" s="10">
        <f>'Histórico'!R3</f>
        <v/>
      </c>
      <c r="D16" s="10">
        <f>'Histórico'!R4</f>
        <v/>
      </c>
      <c r="E16" s="10">
        <f>'Histórico'!R5</f>
        <v/>
      </c>
      <c r="F16" s="10">
        <f>'Histórico'!R6</f>
        <v/>
      </c>
      <c r="G16" s="10">
        <f>'Histórico'!R7</f>
        <v/>
      </c>
      <c r="H16" s="10">
        <f>'Histórico'!R8</f>
        <v/>
      </c>
    </row>
  </sheetData>
  <mergeCells count="2">
    <mergeCell ref="A2:H2"/>
    <mergeCell ref="A1:H1"/>
  </mergeCells>
  <conditionalFormatting sqref="B8">
    <cfRule type="expression" priority="1" dxfId="0">
      <formula>B8&lt;B14</formula>
    </cfRule>
    <cfRule type="expression" priority="2" dxfId="1">
      <formula>AND(B8&gt;=B14,B8&lt;B15)</formula>
    </cfRule>
    <cfRule type="expression" priority="3" dxfId="2">
      <formula>AND(B8&gt;=B15,B8&lt;B16)</formula>
    </cfRule>
    <cfRule type="expression" priority="4" dxfId="3">
      <formula>B8&gt;=B16</formula>
    </cfRule>
  </conditionalFormatting>
  <conditionalFormatting sqref="B12">
    <cfRule type="expression" priority="5" dxfId="4">
      <formula>AND(B12&lt;&gt;"",B12&gt;=25%)</formula>
    </cfRule>
    <cfRule type="expression" priority="6" dxfId="5">
      <formula>AND(B12&lt;&gt;"",B12&lt;25%)</formula>
    </cfRule>
  </conditionalFormatting>
  <conditionalFormatting sqref="C8">
    <cfRule type="expression" priority="7" dxfId="0">
      <formula>C8&lt;C14</formula>
    </cfRule>
    <cfRule type="expression" priority="8" dxfId="1">
      <formula>AND(C8&gt;=C14,C8&lt;C15)</formula>
    </cfRule>
    <cfRule type="expression" priority="9" dxfId="2">
      <formula>AND(C8&gt;=C15,C8&lt;C16)</formula>
    </cfRule>
    <cfRule type="expression" priority="10" dxfId="3">
      <formula>C8&gt;=C16</formula>
    </cfRule>
  </conditionalFormatting>
  <conditionalFormatting sqref="C12">
    <cfRule type="expression" priority="11" dxfId="4">
      <formula>AND(C12&lt;&gt;"",C12&gt;=25%)</formula>
    </cfRule>
    <cfRule type="expression" priority="12" dxfId="5">
      <formula>AND(C12&lt;&gt;"",C12&lt;25%)</formula>
    </cfRule>
  </conditionalFormatting>
  <conditionalFormatting sqref="D8">
    <cfRule type="expression" priority="13" dxfId="0">
      <formula>D8&lt;D14</formula>
    </cfRule>
    <cfRule type="expression" priority="14" dxfId="1">
      <formula>AND(D8&gt;=D14,D8&lt;D15)</formula>
    </cfRule>
    <cfRule type="expression" priority="15" dxfId="2">
      <formula>AND(D8&gt;=D15,D8&lt;D16)</formula>
    </cfRule>
    <cfRule type="expression" priority="16" dxfId="3">
      <formula>D8&gt;=D16</formula>
    </cfRule>
  </conditionalFormatting>
  <conditionalFormatting sqref="D12">
    <cfRule type="expression" priority="17" dxfId="4">
      <formula>AND(D12&lt;&gt;"",D12&gt;=25%)</formula>
    </cfRule>
    <cfRule type="expression" priority="18" dxfId="5">
      <formula>AND(D12&lt;&gt;"",D12&lt;25%)</formula>
    </cfRule>
  </conditionalFormatting>
  <conditionalFormatting sqref="E8">
    <cfRule type="expression" priority="19" dxfId="0">
      <formula>E8&lt;E14</formula>
    </cfRule>
    <cfRule type="expression" priority="20" dxfId="1">
      <formula>AND(E8&gt;=E14,E8&lt;E15)</formula>
    </cfRule>
    <cfRule type="expression" priority="21" dxfId="2">
      <formula>AND(E8&gt;=E15,E8&lt;E16)</formula>
    </cfRule>
    <cfRule type="expression" priority="22" dxfId="3">
      <formula>E8&gt;=E16</formula>
    </cfRule>
  </conditionalFormatting>
  <conditionalFormatting sqref="E12">
    <cfRule type="expression" priority="23" dxfId="4">
      <formula>AND(E12&lt;&gt;"",E12&gt;=25%)</formula>
    </cfRule>
    <cfRule type="expression" priority="24" dxfId="5">
      <formula>AND(E12&lt;&gt;"",E12&lt;25%)</formula>
    </cfRule>
  </conditionalFormatting>
  <conditionalFormatting sqref="F8">
    <cfRule type="expression" priority="25" dxfId="0">
      <formula>F8&lt;F14</formula>
    </cfRule>
    <cfRule type="expression" priority="26" dxfId="1">
      <formula>AND(F8&gt;=F14,F8&lt;F15)</formula>
    </cfRule>
    <cfRule type="expression" priority="27" dxfId="2">
      <formula>AND(F8&gt;=F15,F8&lt;F16)</formula>
    </cfRule>
    <cfRule type="expression" priority="28" dxfId="3">
      <formula>F8&gt;=F16</formula>
    </cfRule>
  </conditionalFormatting>
  <conditionalFormatting sqref="F12">
    <cfRule type="expression" priority="29" dxfId="4">
      <formula>AND(F12&lt;&gt;"",F12&gt;=25%)</formula>
    </cfRule>
    <cfRule type="expression" priority="30" dxfId="5">
      <formula>AND(F12&lt;&gt;"",F12&lt;25%)</formula>
    </cfRule>
  </conditionalFormatting>
  <conditionalFormatting sqref="G8">
    <cfRule type="expression" priority="31" dxfId="0">
      <formula>G8&lt;G14</formula>
    </cfRule>
    <cfRule type="expression" priority="32" dxfId="1">
      <formula>AND(G8&gt;=G14,G8&lt;G15)</formula>
    </cfRule>
    <cfRule type="expression" priority="33" dxfId="2">
      <formula>AND(G8&gt;=G15,G8&lt;G16)</formula>
    </cfRule>
    <cfRule type="expression" priority="34" dxfId="3">
      <formula>G8&gt;=G16</formula>
    </cfRule>
  </conditionalFormatting>
  <conditionalFormatting sqref="G12">
    <cfRule type="expression" priority="35" dxfId="4">
      <formula>AND(G12&lt;&gt;"",G12&gt;=25%)</formula>
    </cfRule>
    <cfRule type="expression" priority="36" dxfId="5">
      <formula>AND(G12&lt;&gt;"",G12&lt;25%)</formula>
    </cfRule>
  </conditionalFormatting>
  <conditionalFormatting sqref="H8">
    <cfRule type="expression" priority="37" dxfId="0">
      <formula>H8&lt;H14</formula>
    </cfRule>
    <cfRule type="expression" priority="38" dxfId="1">
      <formula>AND(H8&gt;=H14,H8&lt;H15)</formula>
    </cfRule>
    <cfRule type="expression" priority="39" dxfId="2">
      <formula>AND(H8&gt;=H15,H8&lt;H16)</formula>
    </cfRule>
    <cfRule type="expression" priority="40" dxfId="3">
      <formula>H8&gt;=H16</formula>
    </cfRule>
  </conditionalFormatting>
  <conditionalFormatting sqref="H12">
    <cfRule type="expression" priority="41" dxfId="4">
      <formula>AND(H12&lt;&gt;"",H12&gt;=25%)</formula>
    </cfRule>
    <cfRule type="expression" priority="42" dxfId="5">
      <formula>AND(H12&lt;&gt;"",H12&lt;25%)</formula>
    </cfRule>
  </conditionalFormatting>
  <pageMargins left="0.25" right="0.25" top="0.35" bottom="0.35" header="0.5" footer="0.5"/>
  <pageSetup orientation="landscape" paperSize="9" fitToHeight="2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2" t="inlineStr">
        <is>
          <t>Ano</t>
        </is>
      </c>
      <c r="B1" s="14" t="inlineStr">
        <is>
          <t>Mensagem</t>
        </is>
      </c>
    </row>
    <row r="2">
      <c r="A2" t="inlineStr">
        <is>
          <t>—</t>
        </is>
      </c>
      <c r="B2" s="15" t="inlineStr">
        <is>
          <t>Nenhum exercício falhou na coleta.</t>
        </is>
      </c>
    </row>
  </sheetData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2026-08-24T23:16:39Z</dcterms:created>
  <dcterms:modified xmlns:dcterms="http://purl.org/dc/terms/" xmlns:xsi="http://www.w3.org/2001/XMLSchema-instance" xsi:type="dcterms:W3CDTF">2026-08-24T23:16:39Z</dcterms:modified>
</cp:coreProperties>
</file>